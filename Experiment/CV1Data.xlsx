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mi/Documents/MATLAB/Pascasarjana/PhD/LPPI/"/>
    </mc:Choice>
  </mc:AlternateContent>
  <xr:revisionPtr revIDLastSave="0" documentId="13_ncr:1_{6004126C-0966-8744-99B4-43F583E96FC4}" xr6:coauthVersionLast="47" xr6:coauthVersionMax="47" xr10:uidLastSave="{00000000-0000-0000-0000-000000000000}"/>
  <bookViews>
    <workbookView xWindow="2840" yWindow="600" windowWidth="28040" windowHeight="17180" xr2:uid="{5F8F7CA4-54BA-CB48-BAC8-DEFFF2CCA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3" i="1"/>
  <c r="K2" i="1"/>
  <c r="J2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I2" i="1"/>
  <c r="M2" i="1" s="1" a="1"/>
  <c r="M2" i="1" s="1"/>
  <c r="L2" i="1" s="1" a="1"/>
  <c r="L2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3" i="1"/>
  <c r="F2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" i="1"/>
  <c r="G96" i="1" l="1"/>
  <c r="G136" i="1"/>
  <c r="G128" i="1"/>
  <c r="G120" i="1"/>
  <c r="G112" i="1"/>
  <c r="G208" i="1"/>
  <c r="G104" i="1"/>
  <c r="G3" i="1"/>
  <c r="G200" i="1"/>
  <c r="G192" i="1"/>
  <c r="G184" i="1"/>
  <c r="G176" i="1"/>
  <c r="G168" i="1"/>
  <c r="G160" i="1"/>
  <c r="G152" i="1"/>
  <c r="G144" i="1"/>
  <c r="G88" i="1"/>
  <c r="G80" i="1"/>
  <c r="G56" i="1"/>
  <c r="G40" i="1"/>
  <c r="G24" i="1"/>
  <c r="G8" i="1"/>
  <c r="G199" i="1"/>
  <c r="G167" i="1"/>
  <c r="G143" i="1"/>
  <c r="G119" i="1"/>
  <c r="G95" i="1"/>
  <c r="G71" i="1"/>
  <c r="G39" i="1"/>
  <c r="G23" i="1"/>
  <c r="G198" i="1"/>
  <c r="G158" i="1"/>
  <c r="G142" i="1"/>
  <c r="G118" i="1"/>
  <c r="G94" i="1"/>
  <c r="G70" i="1"/>
  <c r="G46" i="1"/>
  <c r="G22" i="1"/>
  <c r="G2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64" i="1"/>
  <c r="G207" i="1"/>
  <c r="G183" i="1"/>
  <c r="G159" i="1"/>
  <c r="G135" i="1"/>
  <c r="G103" i="1"/>
  <c r="G79" i="1"/>
  <c r="G55" i="1"/>
  <c r="G31" i="1"/>
  <c r="G7" i="1"/>
  <c r="G206" i="1"/>
  <c r="G182" i="1"/>
  <c r="G174" i="1"/>
  <c r="G150" i="1"/>
  <c r="G126" i="1"/>
  <c r="G102" i="1"/>
  <c r="G78" i="1"/>
  <c r="G62" i="1"/>
  <c r="G38" i="1"/>
  <c r="G14" i="1"/>
  <c r="G205" i="1"/>
  <c r="G189" i="1"/>
  <c r="G173" i="1"/>
  <c r="G157" i="1"/>
  <c r="G141" i="1"/>
  <c r="G125" i="1"/>
  <c r="G109" i="1"/>
  <c r="G93" i="1"/>
  <c r="G77" i="1"/>
  <c r="G69" i="1"/>
  <c r="G61" i="1"/>
  <c r="G45" i="1"/>
  <c r="G37" i="1"/>
  <c r="G29" i="1"/>
  <c r="G21" i="1"/>
  <c r="G13" i="1"/>
  <c r="G5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60" i="1"/>
  <c r="G52" i="1"/>
  <c r="G44" i="1"/>
  <c r="G36" i="1"/>
  <c r="G28" i="1"/>
  <c r="G20" i="1"/>
  <c r="G12" i="1"/>
  <c r="G4" i="1"/>
  <c r="G72" i="1"/>
  <c r="G48" i="1"/>
  <c r="G32" i="1"/>
  <c r="G16" i="1"/>
  <c r="G215" i="1"/>
  <c r="G191" i="1"/>
  <c r="G175" i="1"/>
  <c r="G151" i="1"/>
  <c r="G127" i="1"/>
  <c r="G111" i="1"/>
  <c r="G87" i="1"/>
  <c r="G63" i="1"/>
  <c r="G47" i="1"/>
  <c r="G15" i="1"/>
  <c r="G214" i="1"/>
  <c r="G190" i="1"/>
  <c r="G166" i="1"/>
  <c r="G134" i="1"/>
  <c r="G110" i="1"/>
  <c r="G86" i="1"/>
  <c r="G54" i="1"/>
  <c r="G30" i="1"/>
  <c r="G6" i="1"/>
  <c r="G213" i="1"/>
  <c r="G197" i="1"/>
  <c r="G181" i="1"/>
  <c r="G165" i="1"/>
  <c r="G149" i="1"/>
  <c r="G133" i="1"/>
  <c r="G117" i="1"/>
  <c r="G101" i="1"/>
  <c r="G85" i="1"/>
  <c r="G53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210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<sst xmlns="http://schemas.openxmlformats.org/spreadsheetml/2006/main" count="12" uniqueCount="12">
  <si>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Date</t>
  </si>
  <si>
    <t>T (Month)</t>
  </si>
  <si>
    <t>dT (Month)</t>
  </si>
  <si>
    <t>Travel</t>
  </si>
  <si>
    <t>dCv</t>
  </si>
  <si>
    <t>ddCv</t>
  </si>
  <si>
    <t>delta</t>
  </si>
  <si>
    <t>Ug1</t>
  </si>
  <si>
    <t>Ug2</t>
  </si>
  <si>
    <t>UT</t>
  </si>
  <si>
    <t>bg</t>
  </si>
  <si>
    <t>Ub1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</si>
</sst>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8955-12FE-D847-B11C-7F4449ECDF53}">
  <dimension ref="A1:M215"/>
  <sheetViews>
    <sheetView tabSelected="1" zoomScaleNormal="100" workbookViewId="0">
      <selection activeCell="B1" sqref="B1"/>
    </sheetView>
  </sheetViews>
  <sheetFormatPr baseColWidth="10" defaultRowHeight="16" x14ac:dyDescent="0.2"/>
  <cols>
    <col min="1" max="1" width="13.3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11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s="2">
        <v>43999.916666666664</v>
      </c>
      <c r="B2">
        <v>0</v>
      </c>
      <c r="C2">
        <f>0</f>
        <v>0</v>
      </c>
      <c r="D2">
        <v>0.20980486200000001</v>
      </c>
      <c r="E2">
        <v>-9.4470199580000003</v>
      </c>
      <c r="F2">
        <f>0</f>
        <v>0</v>
      </c>
      <c r="G2">
        <f>F2-L2</f>
        <v>0</v>
      </c>
      <c r="I2">
        <f>0</f>
        <v>0</v>
      </c>
      <c r="J2">
        <f>0</f>
        <v>0</v>
      </c>
      <c r="K2">
        <f>0</f>
        <v>0</v>
      </c>
      <c r="L2" cm="1">
        <f t="array" ref="L2:L215">MMULT(I2:K215,M2:M4)</f>
        <v>0</v>
      </c>
      <c r="M2" cm="1">
        <f t="array" ref="M2:M4">MMULT(MMULT(MINVERSE(MMULT(TRANSPOSE(I2:K215),I2:K215)),TRANSPOSE(I2:K215)),F2:F215)</f>
        <v>-2.2477758410589672</v>
      </c>
    </row>
    <row r="3" spans="1:13" x14ac:dyDescent="0.2">
      <c r="A3" s="2">
        <v>44000.916666666664</v>
      </c>
      <c r="B3">
        <v>3.2854884000000001E-2</v>
      </c>
      <c r="C3">
        <f>B3-B2</f>
        <v>3.2854884000000001E-2</v>
      </c>
      <c r="D3">
        <v>0.20897531599999999</v>
      </c>
      <c r="E3">
        <v>-10.33103129</v>
      </c>
      <c r="F3">
        <f>E3-E2</f>
        <v>-0.88401133200000004</v>
      </c>
      <c r="G3">
        <f t="shared" ref="G3:G66" si="0">F3-L3</f>
        <v>-0.90135628820683078</v>
      </c>
      <c r="I3">
        <f>D3-D2</f>
        <v>-8.2954600000001433E-4</v>
      </c>
      <c r="J3">
        <f>B3*D3^0-B2*D2^0</f>
        <v>3.2854884000000001E-2</v>
      </c>
      <c r="K3">
        <f>B3*D3^1-B2*D2^1</f>
        <v>6.8658597660433444E-3</v>
      </c>
      <c r="L3">
        <v>1.7344956206830735E-2</v>
      </c>
      <c r="M3">
        <v>0.2891949840315669</v>
      </c>
    </row>
    <row r="4" spans="1:13" x14ac:dyDescent="0.2">
      <c r="A4" s="2">
        <v>44003.916666666664</v>
      </c>
      <c r="B4">
        <v>0.131419536</v>
      </c>
      <c r="C4">
        <f t="shared" ref="C4:C67" si="1">B4-B3</f>
        <v>9.8564652000000003E-2</v>
      </c>
      <c r="D4">
        <v>0.20917113600000001</v>
      </c>
      <c r="E4">
        <v>-10.382350669999999</v>
      </c>
      <c r="F4">
        <f t="shared" ref="F4:F67" si="2">E4-E3</f>
        <v>-5.1319379999998915E-2</v>
      </c>
      <c r="G4">
        <f t="shared" si="0"/>
        <v>-9.7342598689816554E-2</v>
      </c>
      <c r="I4">
        <f t="shared" ref="I4:I67" si="3">D4-D3</f>
        <v>1.9582000000001321E-4</v>
      </c>
      <c r="J4">
        <f t="shared" ref="J4:J67" si="4">B4*D4^0-B3*D3^0</f>
        <v>9.8564652000000003E-2</v>
      </c>
      <c r="K4">
        <f t="shared" ref="K4:K67" si="5">B4*D4^1-B3*D3^1</f>
        <v>2.0623313871669553E-2</v>
      </c>
      <c r="L4">
        <v>4.6023218689817638E-2</v>
      </c>
      <c r="M4">
        <v>0.87080938134134234</v>
      </c>
    </row>
    <row r="5" spans="1:13" x14ac:dyDescent="0.2">
      <c r="A5" s="2">
        <v>44005.916666666664</v>
      </c>
      <c r="B5">
        <v>0.19712930400000001</v>
      </c>
      <c r="C5">
        <f t="shared" si="1"/>
        <v>6.5709768000000002E-2</v>
      </c>
      <c r="D5">
        <v>0.21020588500000001</v>
      </c>
      <c r="E5">
        <v>-10.428336590000001</v>
      </c>
      <c r="F5">
        <f t="shared" si="2"/>
        <v>-4.5985920000001457E-2</v>
      </c>
      <c r="G5">
        <f t="shared" si="0"/>
        <v>-7.4809513779980991E-2</v>
      </c>
      <c r="I5">
        <f t="shared" si="3"/>
        <v>1.0347490000000015E-3</v>
      </c>
      <c r="J5">
        <f t="shared" si="4"/>
        <v>6.5709768000000002E-2</v>
      </c>
      <c r="K5">
        <f t="shared" si="5"/>
        <v>1.3948566169041141E-2</v>
      </c>
      <c r="L5">
        <v>2.8823593779979534E-2</v>
      </c>
    </row>
    <row r="6" spans="1:13" x14ac:dyDescent="0.2">
      <c r="A6" s="2">
        <v>44006.916666666664</v>
      </c>
      <c r="B6">
        <v>0.22998418800000001</v>
      </c>
      <c r="C6">
        <f t="shared" si="1"/>
        <v>3.2854884000000001E-2</v>
      </c>
      <c r="D6">
        <v>0.21022327599999999</v>
      </c>
      <c r="E6">
        <v>-9.5083404540000007</v>
      </c>
      <c r="F6">
        <f t="shared" si="2"/>
        <v>0.91999613599999996</v>
      </c>
      <c r="G6">
        <f t="shared" si="0"/>
        <v>0.90451621438458774</v>
      </c>
      <c r="I6">
        <f t="shared" si="3"/>
        <v>1.739099999997773E-5</v>
      </c>
      <c r="J6">
        <f t="shared" si="4"/>
        <v>3.2854884000000001E-2</v>
      </c>
      <c r="K6">
        <f t="shared" si="5"/>
        <v>6.9102896228058486E-3</v>
      </c>
      <c r="L6">
        <v>1.5479921615412236E-2</v>
      </c>
    </row>
    <row r="7" spans="1:13" x14ac:dyDescent="0.2">
      <c r="A7" s="2">
        <v>44010.916666666664</v>
      </c>
      <c r="B7">
        <v>0.36140372399999998</v>
      </c>
      <c r="C7">
        <f t="shared" si="1"/>
        <v>0.13141953599999998</v>
      </c>
      <c r="D7">
        <v>0.20370740600000001</v>
      </c>
      <c r="E7">
        <v>-9.5048975630000001</v>
      </c>
      <c r="F7">
        <f t="shared" si="2"/>
        <v>3.4428910000006141E-3</v>
      </c>
      <c r="G7">
        <f t="shared" si="0"/>
        <v>-7.121679950729487E-2</v>
      </c>
      <c r="I7">
        <f t="shared" si="3"/>
        <v>-6.5158699999999792E-3</v>
      </c>
      <c r="J7">
        <f t="shared" si="4"/>
        <v>0.13141953599999998</v>
      </c>
      <c r="K7">
        <f t="shared" si="5"/>
        <v>2.5272585705220049E-2</v>
      </c>
      <c r="L7">
        <v>7.4659690507295484E-2</v>
      </c>
    </row>
    <row r="8" spans="1:13" x14ac:dyDescent="0.2">
      <c r="A8" s="2">
        <v>44011.916666666664</v>
      </c>
      <c r="B8">
        <v>0.39425860800000001</v>
      </c>
      <c r="C8">
        <f t="shared" si="1"/>
        <v>3.2854884000000029E-2</v>
      </c>
      <c r="D8">
        <v>0.20367459299999999</v>
      </c>
      <c r="E8">
        <v>-8.6178919470000004</v>
      </c>
      <c r="F8">
        <f t="shared" si="2"/>
        <v>0.88700561599999972</v>
      </c>
      <c r="G8">
        <f t="shared" si="0"/>
        <v>0.87161351917842089</v>
      </c>
      <c r="I8">
        <f t="shared" si="3"/>
        <v>-3.2813000000020409E-5</v>
      </c>
      <c r="J8">
        <f t="shared" si="4"/>
        <v>3.2854884000000029E-2</v>
      </c>
      <c r="K8">
        <f t="shared" si="5"/>
        <v>6.6798463863666085E-3</v>
      </c>
      <c r="L8">
        <v>1.5392096821578813E-2</v>
      </c>
    </row>
    <row r="9" spans="1:13" x14ac:dyDescent="0.2">
      <c r="A9" s="2">
        <v>44012.916666666664</v>
      </c>
      <c r="B9">
        <v>0.42711349199999998</v>
      </c>
      <c r="C9">
        <f t="shared" si="1"/>
        <v>3.2854883999999973E-2</v>
      </c>
      <c r="D9">
        <v>0.20365893500000001</v>
      </c>
      <c r="E9">
        <v>-8.6401087440000008</v>
      </c>
      <c r="F9">
        <f t="shared" si="2"/>
        <v>-2.2216797000000454E-2</v>
      </c>
      <c r="G9">
        <f t="shared" si="0"/>
        <v>-3.7574836180018487E-2</v>
      </c>
      <c r="I9">
        <f t="shared" si="3"/>
        <v>-1.5657999999973971E-5</v>
      </c>
      <c r="J9">
        <f t="shared" si="4"/>
        <v>3.2854883999999973E-2</v>
      </c>
      <c r="K9">
        <f t="shared" si="5"/>
        <v>6.6850173837044724E-3</v>
      </c>
      <c r="L9">
        <v>1.5358039180018029E-2</v>
      </c>
    </row>
    <row r="10" spans="1:13" x14ac:dyDescent="0.2">
      <c r="A10" s="2">
        <v>44013.916666666664</v>
      </c>
      <c r="B10">
        <v>0.45996837600000001</v>
      </c>
      <c r="C10">
        <f t="shared" si="1"/>
        <v>3.2854884000000029E-2</v>
      </c>
      <c r="D10">
        <v>0.203650155</v>
      </c>
      <c r="E10">
        <v>-8.5223597210000008</v>
      </c>
      <c r="F10">
        <f t="shared" si="2"/>
        <v>0.11774902300000001</v>
      </c>
      <c r="G10">
        <f t="shared" si="0"/>
        <v>0.10240458503668622</v>
      </c>
      <c r="I10">
        <f t="shared" si="3"/>
        <v>-8.7800000000137768E-6</v>
      </c>
      <c r="J10">
        <f t="shared" si="4"/>
        <v>3.2854884000000029E-2</v>
      </c>
      <c r="K10">
        <f t="shared" si="5"/>
        <v>6.6871521626472585E-3</v>
      </c>
      <c r="L10">
        <v>1.5344437963313797E-2</v>
      </c>
    </row>
    <row r="11" spans="1:13" x14ac:dyDescent="0.2">
      <c r="A11" s="2">
        <v>44014.916666666664</v>
      </c>
      <c r="B11">
        <v>0.49282325999999999</v>
      </c>
      <c r="C11">
        <f t="shared" si="1"/>
        <v>3.2854883999999973E-2</v>
      </c>
      <c r="D11">
        <v>0.20362387600000001</v>
      </c>
      <c r="E11">
        <v>-8.6556605019999999</v>
      </c>
      <c r="F11">
        <f t="shared" si="2"/>
        <v>-0.13330078099999909</v>
      </c>
      <c r="G11">
        <f t="shared" si="0"/>
        <v>-0.14867654060975133</v>
      </c>
      <c r="I11">
        <f t="shared" si="3"/>
        <v>-2.6278999999990171E-5</v>
      </c>
      <c r="J11">
        <f t="shared" si="4"/>
        <v>3.2854883999999973E-2</v>
      </c>
      <c r="K11">
        <f t="shared" si="5"/>
        <v>6.6779513166574794E-3</v>
      </c>
      <c r="L11">
        <v>1.5375759609752244E-2</v>
      </c>
    </row>
    <row r="12" spans="1:13" x14ac:dyDescent="0.2">
      <c r="A12" s="2">
        <v>44017.916666666664</v>
      </c>
      <c r="B12">
        <v>0.59138791199999996</v>
      </c>
      <c r="C12">
        <f t="shared" si="1"/>
        <v>9.8564651999999975E-2</v>
      </c>
      <c r="D12">
        <v>0.20362171000000001</v>
      </c>
      <c r="E12">
        <v>-8.4557093299999995</v>
      </c>
      <c r="F12">
        <f t="shared" si="2"/>
        <v>0.19995117200000045</v>
      </c>
      <c r="G12">
        <f t="shared" si="0"/>
        <v>0.15396577010365686</v>
      </c>
      <c r="I12">
        <f t="shared" si="3"/>
        <v>-2.1659999999978918E-6</v>
      </c>
      <c r="J12">
        <f t="shared" si="4"/>
        <v>9.8564651999999975E-2</v>
      </c>
      <c r="K12">
        <f t="shared" si="5"/>
        <v>2.0068835530613768E-2</v>
      </c>
      <c r="L12">
        <v>4.5985401896343592E-2</v>
      </c>
    </row>
    <row r="13" spans="1:13" x14ac:dyDescent="0.2">
      <c r="A13" s="2">
        <v>44018.916666666664</v>
      </c>
      <c r="B13">
        <v>0.62424279599999999</v>
      </c>
      <c r="C13">
        <f t="shared" si="1"/>
        <v>3.2854884000000029E-2</v>
      </c>
      <c r="D13">
        <v>0.20362265399999999</v>
      </c>
      <c r="E13">
        <v>-8.4779261269999999</v>
      </c>
      <c r="F13">
        <f t="shared" si="2"/>
        <v>-2.2216797000000454E-2</v>
      </c>
      <c r="G13">
        <f t="shared" si="0"/>
        <v>-3.7542342509305743E-2</v>
      </c>
      <c r="I13">
        <f t="shared" si="3"/>
        <v>9.4399999997496487E-7</v>
      </c>
      <c r="J13">
        <f t="shared" si="4"/>
        <v>3.2854884000000029E-2</v>
      </c>
      <c r="K13">
        <f t="shared" si="5"/>
        <v>6.6905569471310405E-3</v>
      </c>
      <c r="L13">
        <v>1.532554550930529E-2</v>
      </c>
    </row>
    <row r="14" spans="1:13" x14ac:dyDescent="0.2">
      <c r="A14" s="2">
        <v>44019.916666666664</v>
      </c>
      <c r="B14">
        <v>0.65709768000000002</v>
      </c>
      <c r="C14">
        <f t="shared" si="1"/>
        <v>3.2854884000000029E-2</v>
      </c>
      <c r="D14">
        <v>0.20362079799999999</v>
      </c>
      <c r="E14">
        <v>-8.5223597210000008</v>
      </c>
      <c r="F14">
        <f t="shared" si="2"/>
        <v>-4.4433594000000909E-2</v>
      </c>
      <c r="G14">
        <f t="shared" si="0"/>
        <v>-5.9763885118877563E-2</v>
      </c>
      <c r="I14">
        <f t="shared" si="3"/>
        <v>-1.8559999999945287E-6</v>
      </c>
      <c r="J14">
        <f t="shared" si="4"/>
        <v>3.2854884000000029E-2</v>
      </c>
      <c r="K14">
        <f t="shared" si="5"/>
        <v>6.6887791036480682E-3</v>
      </c>
      <c r="L14">
        <v>1.5330291118876658E-2</v>
      </c>
    </row>
    <row r="15" spans="1:13" x14ac:dyDescent="0.2">
      <c r="A15" s="2">
        <v>44020.916666666664</v>
      </c>
      <c r="B15">
        <v>0.68995256400000005</v>
      </c>
      <c r="C15">
        <f t="shared" si="1"/>
        <v>3.2854884000000029E-2</v>
      </c>
      <c r="D15">
        <v>0.20362903399999999</v>
      </c>
      <c r="E15">
        <v>-8.4334925330000008</v>
      </c>
      <c r="F15">
        <f t="shared" si="2"/>
        <v>8.8867188000000041E-2</v>
      </c>
      <c r="G15">
        <f t="shared" si="0"/>
        <v>7.3553624189664574E-2</v>
      </c>
      <c r="I15">
        <f t="shared" si="3"/>
        <v>8.235999999994803E-6</v>
      </c>
      <c r="J15">
        <f t="shared" si="4"/>
        <v>3.2854884000000029E-2</v>
      </c>
      <c r="K15">
        <f t="shared" si="5"/>
        <v>6.6956201475945332E-3</v>
      </c>
      <c r="L15">
        <v>1.5313563810335464E-2</v>
      </c>
    </row>
    <row r="16" spans="1:13" x14ac:dyDescent="0.2">
      <c r="A16" s="2">
        <v>44021.916666666664</v>
      </c>
      <c r="B16">
        <v>0.72280744799999996</v>
      </c>
      <c r="C16">
        <f t="shared" si="1"/>
        <v>3.2854883999999918E-2</v>
      </c>
      <c r="D16">
        <v>0.20362639099999999</v>
      </c>
      <c r="E16">
        <v>-8.4557093299999995</v>
      </c>
      <c r="F16">
        <f t="shared" si="2"/>
        <v>-2.2216796999998678E-2</v>
      </c>
      <c r="G16">
        <f t="shared" si="0"/>
        <v>-3.7548438091404845E-2</v>
      </c>
      <c r="I16">
        <f t="shared" si="3"/>
        <v>-2.6429999999966203E-6</v>
      </c>
      <c r="J16">
        <f t="shared" si="4"/>
        <v>3.2854883999999918E-2</v>
      </c>
      <c r="K16">
        <f t="shared" si="5"/>
        <v>6.6882979110169938E-3</v>
      </c>
      <c r="L16">
        <v>1.5331641091406171E-2</v>
      </c>
    </row>
    <row r="17" spans="1:12" x14ac:dyDescent="0.2">
      <c r="A17" s="2">
        <v>44023.916666666664</v>
      </c>
      <c r="B17">
        <v>0.78851721600000002</v>
      </c>
      <c r="C17">
        <f t="shared" si="1"/>
        <v>6.5709768000000057E-2</v>
      </c>
      <c r="D17">
        <v>0.20363239299999999</v>
      </c>
      <c r="E17">
        <v>-8.4112757370000004</v>
      </c>
      <c r="F17">
        <f t="shared" si="2"/>
        <v>4.443359299999905E-2</v>
      </c>
      <c r="G17">
        <f t="shared" si="0"/>
        <v>1.3788386528913517E-2</v>
      </c>
      <c r="I17">
        <f t="shared" si="3"/>
        <v>6.0020000000049478E-6</v>
      </c>
      <c r="J17">
        <f t="shared" si="4"/>
        <v>6.5709768000000057E-2</v>
      </c>
      <c r="K17">
        <f t="shared" si="5"/>
        <v>1.338497559161772E-2</v>
      </c>
      <c r="L17">
        <v>3.0645206471085533E-2</v>
      </c>
    </row>
    <row r="18" spans="1:12" x14ac:dyDescent="0.2">
      <c r="A18" s="2">
        <v>44024.916666666664</v>
      </c>
      <c r="B18">
        <v>0.82137210000000005</v>
      </c>
      <c r="C18">
        <f t="shared" si="1"/>
        <v>3.2854884000000029E-2</v>
      </c>
      <c r="D18">
        <v>0.20361984699999999</v>
      </c>
      <c r="E18">
        <v>-8.38905894</v>
      </c>
      <c r="F18">
        <f t="shared" si="2"/>
        <v>2.2216797000000454E-2</v>
      </c>
      <c r="G18">
        <f t="shared" si="0"/>
        <v>6.8701101389246448E-3</v>
      </c>
      <c r="I18">
        <f t="shared" si="3"/>
        <v>-1.2546000000002167E-5</v>
      </c>
      <c r="J18">
        <f t="shared" si="4"/>
        <v>3.2854884000000029E-2</v>
      </c>
      <c r="K18">
        <f t="shared" si="5"/>
        <v>6.6800137162908169E-3</v>
      </c>
      <c r="L18">
        <v>1.534668686107581E-2</v>
      </c>
    </row>
    <row r="19" spans="1:12" x14ac:dyDescent="0.2">
      <c r="A19" s="2">
        <v>44025.916666666664</v>
      </c>
      <c r="B19">
        <v>0.85422698399999997</v>
      </c>
      <c r="C19">
        <f t="shared" si="1"/>
        <v>3.2854883999999918E-2</v>
      </c>
      <c r="D19">
        <v>0.20361669399999999</v>
      </c>
      <c r="E19">
        <v>-8.3668421429999995</v>
      </c>
      <c r="F19">
        <f t="shared" si="2"/>
        <v>2.2216797000000454E-2</v>
      </c>
      <c r="G19">
        <f t="shared" si="0"/>
        <v>6.8849542277717481E-3</v>
      </c>
      <c r="I19">
        <f t="shared" si="3"/>
        <v>-3.1530000000057345E-6</v>
      </c>
      <c r="J19">
        <f t="shared" si="4"/>
        <v>3.2854883999999918E-2</v>
      </c>
      <c r="K19">
        <f t="shared" si="5"/>
        <v>6.6872130756021886E-3</v>
      </c>
      <c r="L19">
        <v>1.5331842772228706E-2</v>
      </c>
    </row>
    <row r="20" spans="1:12" x14ac:dyDescent="0.2">
      <c r="A20" s="2">
        <v>44026.916666666664</v>
      </c>
      <c r="B20">
        <v>0.887081868</v>
      </c>
      <c r="C20">
        <f t="shared" si="1"/>
        <v>3.2854884000000029E-2</v>
      </c>
      <c r="D20">
        <v>0.203627643</v>
      </c>
      <c r="E20">
        <v>-8.3668421429999995</v>
      </c>
      <c r="F20">
        <f t="shared" si="2"/>
        <v>0</v>
      </c>
      <c r="G20">
        <f t="shared" si="0"/>
        <v>-1.5310857722363534E-2</v>
      </c>
      <c r="I20">
        <f t="shared" si="3"/>
        <v>1.094900000001009E-5</v>
      </c>
      <c r="J20">
        <f t="shared" si="4"/>
        <v>3.2854884000000029E-2</v>
      </c>
      <c r="K20">
        <f t="shared" si="5"/>
        <v>6.6995155212062341E-3</v>
      </c>
      <c r="L20">
        <v>1.5310857722363534E-2</v>
      </c>
    </row>
    <row r="21" spans="1:12" x14ac:dyDescent="0.2">
      <c r="A21" s="2">
        <v>44027.916666666664</v>
      </c>
      <c r="B21">
        <v>0.91993675200000002</v>
      </c>
      <c r="C21">
        <f t="shared" si="1"/>
        <v>3.2854884000000029E-2</v>
      </c>
      <c r="D21">
        <v>0.20361897400000001</v>
      </c>
      <c r="E21">
        <v>-8.3224085490000004</v>
      </c>
      <c r="F21">
        <f t="shared" si="2"/>
        <v>4.4433593999999133E-2</v>
      </c>
      <c r="G21">
        <f t="shared" si="0"/>
        <v>2.9093728676801933E-2</v>
      </c>
      <c r="I21">
        <f t="shared" si="3"/>
        <v>-8.6689999999889356E-6</v>
      </c>
      <c r="J21">
        <f t="shared" si="4"/>
        <v>3.2854884000000029E-2</v>
      </c>
      <c r="K21">
        <f t="shared" si="5"/>
        <v>6.6821876582553452E-3</v>
      </c>
      <c r="L21">
        <v>1.5339865323197198E-2</v>
      </c>
    </row>
    <row r="22" spans="1:12" x14ac:dyDescent="0.2">
      <c r="A22" s="2">
        <v>44028.916666666664</v>
      </c>
      <c r="B22">
        <v>0.95279163600000005</v>
      </c>
      <c r="C22">
        <f t="shared" si="1"/>
        <v>3.2854884000000029E-2</v>
      </c>
      <c r="D22">
        <v>0.203608805</v>
      </c>
      <c r="E22">
        <v>-8.2779749549999995</v>
      </c>
      <c r="F22">
        <f t="shared" si="2"/>
        <v>4.4433594000000909E-2</v>
      </c>
      <c r="G22">
        <f t="shared" si="0"/>
        <v>2.9092097608980641E-2</v>
      </c>
      <c r="I22">
        <f t="shared" si="3"/>
        <v>-1.0169000000004313E-5</v>
      </c>
      <c r="J22">
        <f t="shared" si="4"/>
        <v>3.2854884000000029E-2</v>
      </c>
      <c r="K22">
        <f t="shared" si="5"/>
        <v>6.6801888328225367E-3</v>
      </c>
      <c r="L22">
        <v>1.5341496391020266E-2</v>
      </c>
    </row>
    <row r="23" spans="1:12" x14ac:dyDescent="0.2">
      <c r="A23" s="2">
        <v>44030.916666666664</v>
      </c>
      <c r="B23">
        <v>1.018501404</v>
      </c>
      <c r="C23">
        <f t="shared" si="1"/>
        <v>6.5709767999999946E-2</v>
      </c>
      <c r="D23">
        <v>0.20360910700000001</v>
      </c>
      <c r="E23">
        <v>-8.1091272990000007</v>
      </c>
      <c r="F23">
        <f t="shared" si="2"/>
        <v>0.16884765599999874</v>
      </c>
      <c r="G23">
        <f t="shared" si="0"/>
        <v>0.13819449690195648</v>
      </c>
      <c r="I23">
        <f t="shared" si="3"/>
        <v>3.0200000000757399E-7</v>
      </c>
      <c r="J23">
        <f t="shared" si="4"/>
        <v>6.5709767999999946E-2</v>
      </c>
      <c r="K23">
        <f t="shared" si="5"/>
        <v>1.3379394926731236E-2</v>
      </c>
      <c r="L23">
        <v>3.0653159098042258E-2</v>
      </c>
    </row>
    <row r="24" spans="1:12" x14ac:dyDescent="0.2">
      <c r="A24" s="2">
        <v>44033.916666666664</v>
      </c>
      <c r="B24">
        <v>1.1170660560000001</v>
      </c>
      <c r="C24">
        <f t="shared" si="1"/>
        <v>9.8564652000000086E-2</v>
      </c>
      <c r="D24">
        <v>0.20361304699999999</v>
      </c>
      <c r="E24">
        <v>-9.6609776810000003</v>
      </c>
      <c r="F24">
        <f t="shared" si="2"/>
        <v>-1.5518503819999996</v>
      </c>
      <c r="G24">
        <f t="shared" si="0"/>
        <v>-1.5978257394399613</v>
      </c>
      <c r="I24">
        <f t="shared" si="3"/>
        <v>3.9399999999800706E-6</v>
      </c>
      <c r="J24">
        <f t="shared" si="4"/>
        <v>9.8564652000000086E-2</v>
      </c>
      <c r="K24">
        <f t="shared" si="5"/>
        <v>2.0073062015746407E-2</v>
      </c>
      <c r="L24">
        <v>4.597535743996177E-2</v>
      </c>
    </row>
    <row r="25" spans="1:12" x14ac:dyDescent="0.2">
      <c r="A25" s="2">
        <v>44034.916666666664</v>
      </c>
      <c r="B25">
        <v>1.1499209399999999</v>
      </c>
      <c r="C25">
        <f t="shared" si="1"/>
        <v>3.2854883999999807E-2</v>
      </c>
      <c r="D25">
        <v>0.20360935599999999</v>
      </c>
      <c r="E25">
        <v>-9.4097035729999998</v>
      </c>
      <c r="F25">
        <f t="shared" si="2"/>
        <v>0.2512741080000005</v>
      </c>
      <c r="G25">
        <f t="shared" si="0"/>
        <v>0.23594260108306711</v>
      </c>
      <c r="I25">
        <f t="shared" si="3"/>
        <v>-3.6910000000001109E-6</v>
      </c>
      <c r="J25">
        <f t="shared" si="4"/>
        <v>3.2854883999999807E-2</v>
      </c>
      <c r="K25">
        <f t="shared" si="5"/>
        <v>6.6854386818819556E-3</v>
      </c>
      <c r="L25">
        <v>1.533150691693338E-2</v>
      </c>
    </row>
    <row r="26" spans="1:12" x14ac:dyDescent="0.2">
      <c r="A26" s="2">
        <v>44035.916666666664</v>
      </c>
      <c r="B26">
        <v>1.1827758239999999</v>
      </c>
      <c r="C26">
        <f t="shared" si="1"/>
        <v>3.2854884000000029E-2</v>
      </c>
      <c r="D26">
        <v>0.20360560799999999</v>
      </c>
      <c r="E26">
        <v>-9.3808217369999998</v>
      </c>
      <c r="F26">
        <f t="shared" si="2"/>
        <v>2.888183600000005E-2</v>
      </c>
      <c r="G26">
        <f t="shared" si="0"/>
        <v>1.355047086980259E-2</v>
      </c>
      <c r="I26">
        <f t="shared" si="3"/>
        <v>-3.7479999999978642E-6</v>
      </c>
      <c r="J26">
        <f t="shared" si="4"/>
        <v>3.2854884000000029E-2</v>
      </c>
      <c r="K26">
        <f t="shared" si="5"/>
        <v>6.6851287289063643E-3</v>
      </c>
      <c r="L26">
        <v>1.533136513019746E-2</v>
      </c>
    </row>
    <row r="27" spans="1:12" x14ac:dyDescent="0.2">
      <c r="A27" s="2">
        <v>44037.916666666664</v>
      </c>
      <c r="B27">
        <v>1.248485592</v>
      </c>
      <c r="C27">
        <f t="shared" si="1"/>
        <v>6.5709768000000057E-2</v>
      </c>
      <c r="D27">
        <v>0.203600382</v>
      </c>
      <c r="E27">
        <v>-9.4097035729999998</v>
      </c>
      <c r="F27">
        <f t="shared" si="2"/>
        <v>-2.888183600000005E-2</v>
      </c>
      <c r="G27">
        <f t="shared" si="0"/>
        <v>-5.9541288347915416E-2</v>
      </c>
      <c r="I27">
        <f t="shared" si="3"/>
        <v>-5.2259999999970663E-6</v>
      </c>
      <c r="J27">
        <f t="shared" si="4"/>
        <v>6.5709768000000057E-2</v>
      </c>
      <c r="K27">
        <f t="shared" si="5"/>
        <v>1.3372352679475175E-2</v>
      </c>
      <c r="L27">
        <v>3.0659452347915367E-2</v>
      </c>
    </row>
    <row r="28" spans="1:12" x14ac:dyDescent="0.2">
      <c r="A28" s="2">
        <v>44038.916666666664</v>
      </c>
      <c r="B28">
        <v>1.281340476</v>
      </c>
      <c r="C28">
        <f t="shared" si="1"/>
        <v>3.2854884000000029E-2</v>
      </c>
      <c r="D28">
        <v>0.20360702</v>
      </c>
      <c r="E28">
        <v>-9.3230580649999997</v>
      </c>
      <c r="F28">
        <f t="shared" si="2"/>
        <v>8.6645508000000149E-2</v>
      </c>
      <c r="G28">
        <f t="shared" si="0"/>
        <v>7.1326477980418024E-2</v>
      </c>
      <c r="I28">
        <f t="shared" si="3"/>
        <v>6.6380000000032524E-6</v>
      </c>
      <c r="J28">
        <f t="shared" si="4"/>
        <v>3.2854884000000029E-2</v>
      </c>
      <c r="K28">
        <f t="shared" si="5"/>
        <v>6.6977724710453601E-3</v>
      </c>
      <c r="L28">
        <v>1.5319030019582118E-2</v>
      </c>
    </row>
    <row r="29" spans="1:12" x14ac:dyDescent="0.2">
      <c r="A29" s="2">
        <v>44039.916666666664</v>
      </c>
      <c r="B29">
        <v>1.31419536</v>
      </c>
      <c r="C29">
        <f t="shared" si="1"/>
        <v>3.2854884000000029E-2</v>
      </c>
      <c r="D29">
        <v>0.20360462600000001</v>
      </c>
      <c r="E29">
        <v>-9.3808217369999998</v>
      </c>
      <c r="F29">
        <f t="shared" si="2"/>
        <v>-5.7763672000000099E-2</v>
      </c>
      <c r="G29">
        <f t="shared" si="0"/>
        <v>-7.3093047417796209E-2</v>
      </c>
      <c r="I29">
        <f t="shared" si="3"/>
        <v>-2.393999999988905E-6</v>
      </c>
      <c r="J29">
        <f t="shared" si="4"/>
        <v>3.2854884000000029E-2</v>
      </c>
      <c r="K29">
        <f t="shared" si="5"/>
        <v>6.6863388399938661E-3</v>
      </c>
      <c r="L29">
        <v>1.5329375417796109E-2</v>
      </c>
    </row>
    <row r="30" spans="1:12" x14ac:dyDescent="0.2">
      <c r="A30" s="2">
        <v>44040.916666666664</v>
      </c>
      <c r="B30">
        <v>1.3470502440000001</v>
      </c>
      <c r="C30">
        <f t="shared" si="1"/>
        <v>3.2854884000000029E-2</v>
      </c>
      <c r="D30">
        <v>0.203613353</v>
      </c>
      <c r="E30">
        <v>-9.554112752</v>
      </c>
      <c r="F30">
        <f t="shared" si="2"/>
        <v>-0.17329101500000021</v>
      </c>
      <c r="G30">
        <f t="shared" si="0"/>
        <v>-0.18860830111614274</v>
      </c>
      <c r="I30">
        <f t="shared" si="3"/>
        <v>8.7269999999861625E-6</v>
      </c>
      <c r="J30">
        <f t="shared" si="4"/>
        <v>3.2854884000000029E-2</v>
      </c>
      <c r="K30">
        <f t="shared" si="5"/>
        <v>6.7011620765727864E-3</v>
      </c>
      <c r="L30">
        <v>1.5317286116142515E-2</v>
      </c>
    </row>
    <row r="31" spans="1:12" x14ac:dyDescent="0.2">
      <c r="A31" s="2">
        <v>44046.916666666664</v>
      </c>
      <c r="B31">
        <v>1.5441795490000001</v>
      </c>
      <c r="C31">
        <f t="shared" si="1"/>
        <v>0.19712930500000003</v>
      </c>
      <c r="D31">
        <v>0.202062934</v>
      </c>
      <c r="E31">
        <v>-8.7334192910000006</v>
      </c>
      <c r="F31">
        <f t="shared" si="2"/>
        <v>0.8206934609999994</v>
      </c>
      <c r="G31">
        <f t="shared" si="0"/>
        <v>0.72733180199574465</v>
      </c>
      <c r="I31">
        <f t="shared" si="3"/>
        <v>-1.5504189999999973E-3</v>
      </c>
      <c r="J31">
        <f t="shared" si="4"/>
        <v>0.19712930500000003</v>
      </c>
      <c r="K31">
        <f t="shared" si="5"/>
        <v>3.7744033453428638E-2</v>
      </c>
      <c r="L31">
        <v>9.3361659004254804E-2</v>
      </c>
    </row>
    <row r="32" spans="1:12" x14ac:dyDescent="0.2">
      <c r="A32" s="2">
        <v>44048.916666666664</v>
      </c>
      <c r="B32">
        <v>1.6098893169999999</v>
      </c>
      <c r="C32">
        <f t="shared" si="1"/>
        <v>6.5709767999999835E-2</v>
      </c>
      <c r="D32">
        <v>0.202059087</v>
      </c>
      <c r="E32">
        <v>-8.7334192910000006</v>
      </c>
      <c r="F32">
        <f t="shared" si="2"/>
        <v>0</v>
      </c>
      <c r="G32">
        <f t="shared" si="0"/>
        <v>-3.0568368341286338E-2</v>
      </c>
      <c r="I32">
        <f t="shared" si="3"/>
        <v>-3.8470000000012661E-6</v>
      </c>
      <c r="J32">
        <f t="shared" si="4"/>
        <v>6.5709767999999835E-2</v>
      </c>
      <c r="K32">
        <f t="shared" si="5"/>
        <v>1.3271315270336759E-2</v>
      </c>
      <c r="L32">
        <v>3.0568368341286338E-2</v>
      </c>
    </row>
    <row r="33" spans="1:12" x14ac:dyDescent="0.2">
      <c r="A33" s="2">
        <v>44051.916666666664</v>
      </c>
      <c r="B33">
        <v>1.708453969</v>
      </c>
      <c r="C33">
        <f t="shared" si="1"/>
        <v>9.8564652000000086E-2</v>
      </c>
      <c r="D33">
        <v>0.21306256700000001</v>
      </c>
      <c r="E33">
        <v>-9.0517852780000005</v>
      </c>
      <c r="F33">
        <f t="shared" si="2"/>
        <v>-0.31836598699999996</v>
      </c>
      <c r="G33">
        <f t="shared" si="0"/>
        <v>-0.35585026422973809</v>
      </c>
      <c r="I33">
        <f t="shared" si="3"/>
        <v>1.100348000000001E-2</v>
      </c>
      <c r="J33">
        <f t="shared" si="4"/>
        <v>9.8564652000000086E-2</v>
      </c>
      <c r="K33">
        <f t="shared" si="5"/>
        <v>3.8714822672404892E-2</v>
      </c>
      <c r="L33">
        <v>3.74842772297381E-2</v>
      </c>
    </row>
    <row r="34" spans="1:12" x14ac:dyDescent="0.2">
      <c r="A34" s="2">
        <v>44052.916666666664</v>
      </c>
      <c r="B34">
        <v>1.741308853</v>
      </c>
      <c r="C34">
        <f t="shared" si="1"/>
        <v>3.2854884000000029E-2</v>
      </c>
      <c r="D34">
        <v>0.21399142400000001</v>
      </c>
      <c r="E34">
        <v>-9.2421910599999997</v>
      </c>
      <c r="F34">
        <f t="shared" si="2"/>
        <v>-0.19040578199999914</v>
      </c>
      <c r="G34">
        <f t="shared" si="0"/>
        <v>-0.20532365060349911</v>
      </c>
      <c r="I34">
        <f t="shared" si="3"/>
        <v>9.2885700000000515E-4</v>
      </c>
      <c r="J34">
        <f t="shared" si="4"/>
        <v>3.2854884000000029E-2</v>
      </c>
      <c r="K34">
        <f t="shared" si="5"/>
        <v>8.6175728407982821E-3</v>
      </c>
      <c r="L34">
        <v>1.4917868603499976E-2</v>
      </c>
    </row>
    <row r="35" spans="1:12" x14ac:dyDescent="0.2">
      <c r="A35" s="2">
        <v>44053.916666666664</v>
      </c>
      <c r="B35">
        <v>1.7741637370000001</v>
      </c>
      <c r="C35">
        <f t="shared" si="1"/>
        <v>3.2854884000000029E-2</v>
      </c>
      <c r="D35">
        <v>0.214096386</v>
      </c>
      <c r="E35">
        <v>-9.0977818809999995</v>
      </c>
      <c r="F35">
        <f t="shared" si="2"/>
        <v>0.14440917900000017</v>
      </c>
      <c r="G35">
        <f t="shared" si="0"/>
        <v>0.12885911281108675</v>
      </c>
      <c r="I35">
        <f t="shared" si="3"/>
        <v>1.0496199999998623E-4</v>
      </c>
      <c r="J35">
        <f t="shared" si="4"/>
        <v>3.2854884000000029E-2</v>
      </c>
      <c r="K35">
        <f t="shared" si="5"/>
        <v>7.2168831866777916E-3</v>
      </c>
      <c r="L35">
        <v>1.5550066188913414E-2</v>
      </c>
    </row>
    <row r="36" spans="1:12" x14ac:dyDescent="0.2">
      <c r="A36" s="2">
        <v>44055.916666666664</v>
      </c>
      <c r="B36">
        <v>1.8398735049999999</v>
      </c>
      <c r="C36">
        <f t="shared" si="1"/>
        <v>6.5709767999999835E-2</v>
      </c>
      <c r="D36">
        <v>0.21408603600000001</v>
      </c>
      <c r="E36">
        <v>-9.2566319779999997</v>
      </c>
      <c r="F36">
        <f t="shared" si="2"/>
        <v>-0.15885009700000019</v>
      </c>
      <c r="G36">
        <f t="shared" si="0"/>
        <v>-0.19011045554426928</v>
      </c>
      <c r="I36">
        <f t="shared" si="3"/>
        <v>-1.034999999999231E-5</v>
      </c>
      <c r="J36">
        <f t="shared" si="4"/>
        <v>6.5709767999999835E-2</v>
      </c>
      <c r="K36">
        <f t="shared" si="5"/>
        <v>1.4049181162921642E-2</v>
      </c>
      <c r="L36">
        <v>3.1260358544269097E-2</v>
      </c>
    </row>
    <row r="37" spans="1:12" x14ac:dyDescent="0.2">
      <c r="A37" s="2">
        <v>44056.916666666664</v>
      </c>
      <c r="B37">
        <v>1.8727283889999999</v>
      </c>
      <c r="C37">
        <f t="shared" si="1"/>
        <v>3.2854884000000029E-2</v>
      </c>
      <c r="D37">
        <v>0.21407765600000001</v>
      </c>
      <c r="E37">
        <v>-9.5887730920000003</v>
      </c>
      <c r="F37">
        <f t="shared" si="2"/>
        <v>-0.33214111400000057</v>
      </c>
      <c r="G37">
        <f t="shared" si="0"/>
        <v>-0.34777282653797176</v>
      </c>
      <c r="I37">
        <f t="shared" si="3"/>
        <v>-8.3800000000022745E-6</v>
      </c>
      <c r="J37">
        <f t="shared" si="4"/>
        <v>3.2854884000000029E-2</v>
      </c>
      <c r="K37">
        <f t="shared" si="5"/>
        <v>7.0180784149000419E-3</v>
      </c>
      <c r="L37">
        <v>1.5631712537971205E-2</v>
      </c>
    </row>
    <row r="38" spans="1:12" x14ac:dyDescent="0.2">
      <c r="A38" s="2">
        <v>44058.916666666664</v>
      </c>
      <c r="B38">
        <v>1.938438157</v>
      </c>
      <c r="C38">
        <f t="shared" si="1"/>
        <v>6.5709768000000057E-2</v>
      </c>
      <c r="D38">
        <v>0.21407736999999999</v>
      </c>
      <c r="E38">
        <v>-9.4732457480000001</v>
      </c>
      <c r="F38">
        <f t="shared" si="2"/>
        <v>0.1155273440000002</v>
      </c>
      <c r="G38">
        <f t="shared" si="0"/>
        <v>8.4274579032300567E-2</v>
      </c>
      <c r="I38">
        <f t="shared" si="3"/>
        <v>-2.8600000001599568E-7</v>
      </c>
      <c r="J38">
        <f t="shared" si="4"/>
        <v>6.5709768000000057E-2</v>
      </c>
      <c r="K38">
        <f t="shared" si="5"/>
        <v>1.4066438716430874E-2</v>
      </c>
      <c r="L38">
        <v>3.1252764967699638E-2</v>
      </c>
    </row>
    <row r="39" spans="1:12" x14ac:dyDescent="0.2">
      <c r="A39" s="2">
        <v>44059.916666666664</v>
      </c>
      <c r="B39">
        <v>1.971293041</v>
      </c>
      <c r="C39">
        <f t="shared" si="1"/>
        <v>3.2854884000000029E-2</v>
      </c>
      <c r="D39">
        <v>0.21407918500000001</v>
      </c>
      <c r="E39">
        <v>-9.444363912</v>
      </c>
      <c r="F39">
        <f t="shared" si="2"/>
        <v>2.888183600000005E-2</v>
      </c>
      <c r="G39">
        <f t="shared" si="0"/>
        <v>1.3256505792196338E-2</v>
      </c>
      <c r="I39">
        <f t="shared" si="3"/>
        <v>1.8150000000161093E-6</v>
      </c>
      <c r="J39">
        <f t="shared" si="4"/>
        <v>3.2854884000000029E-2</v>
      </c>
      <c r="K39">
        <f t="shared" si="5"/>
        <v>7.0370650552445402E-3</v>
      </c>
      <c r="L39">
        <v>1.5625330207803712E-2</v>
      </c>
    </row>
    <row r="40" spans="1:12" x14ac:dyDescent="0.2">
      <c r="A40" s="2">
        <v>44060.916666666664</v>
      </c>
      <c r="B40">
        <v>2.0041479249999998</v>
      </c>
      <c r="C40">
        <f t="shared" si="1"/>
        <v>3.2854883999999807E-2</v>
      </c>
      <c r="D40">
        <v>0.21408016699999999</v>
      </c>
      <c r="E40">
        <v>-9.2710728959999997</v>
      </c>
      <c r="F40">
        <f t="shared" si="2"/>
        <v>0.1732910160000003</v>
      </c>
      <c r="G40">
        <f t="shared" si="0"/>
        <v>0.15766516331665112</v>
      </c>
      <c r="I40">
        <f t="shared" si="3"/>
        <v>9.8199999998271892E-7</v>
      </c>
      <c r="J40">
        <f t="shared" si="4"/>
        <v>3.2854883999999807E-2</v>
      </c>
      <c r="K40">
        <f t="shared" si="5"/>
        <v>7.0355148632518238E-3</v>
      </c>
      <c r="L40">
        <v>1.5625852683349185E-2</v>
      </c>
    </row>
    <row r="41" spans="1:12" x14ac:dyDescent="0.2">
      <c r="A41" s="2">
        <v>44061.916666666664</v>
      </c>
      <c r="B41">
        <v>2.0370028090000001</v>
      </c>
      <c r="C41">
        <f t="shared" si="1"/>
        <v>3.2854884000000251E-2</v>
      </c>
      <c r="D41">
        <v>0.214077552</v>
      </c>
      <c r="E41">
        <v>-9.0111363729999994</v>
      </c>
      <c r="F41">
        <f t="shared" si="2"/>
        <v>0.25993652300000036</v>
      </c>
      <c r="G41">
        <f t="shared" si="0"/>
        <v>0.24430890938287833</v>
      </c>
      <c r="I41">
        <f t="shared" si="3"/>
        <v>-2.6149999999836027E-6</v>
      </c>
      <c r="J41">
        <f t="shared" si="4"/>
        <v>3.2854884000000251E-2</v>
      </c>
      <c r="K41">
        <f t="shared" si="5"/>
        <v>7.0282522911401801E-3</v>
      </c>
      <c r="L41">
        <v>1.562761361712204E-2</v>
      </c>
    </row>
    <row r="42" spans="1:12" x14ac:dyDescent="0.2">
      <c r="A42" s="2">
        <v>44062.916666666664</v>
      </c>
      <c r="B42">
        <v>2.0698576929999999</v>
      </c>
      <c r="C42">
        <f t="shared" si="1"/>
        <v>3.2854883999999807E-2</v>
      </c>
      <c r="D42">
        <v>6.4056E-3</v>
      </c>
      <c r="E42">
        <v>-9.0111363729999994</v>
      </c>
      <c r="F42">
        <f t="shared" si="2"/>
        <v>0</v>
      </c>
      <c r="G42">
        <f t="shared" si="0"/>
        <v>-0.10810767524372078</v>
      </c>
      <c r="I42">
        <f t="shared" si="3"/>
        <v>-0.20767195199999999</v>
      </c>
      <c r="J42">
        <f t="shared" si="4"/>
        <v>3.2854883999999807E-2</v>
      </c>
      <c r="K42">
        <f t="shared" si="5"/>
        <v>-0.42281789432956279</v>
      </c>
      <c r="L42">
        <v>0.10810767524372078</v>
      </c>
    </row>
    <row r="43" spans="1:12" x14ac:dyDescent="0.2">
      <c r="A43" s="2">
        <v>44066.916666666664</v>
      </c>
      <c r="B43">
        <v>2.201277229</v>
      </c>
      <c r="C43">
        <f t="shared" si="1"/>
        <v>0.13141953600000011</v>
      </c>
      <c r="D43">
        <v>0.204748706</v>
      </c>
      <c r="E43">
        <v>-9.1468795780000001</v>
      </c>
      <c r="F43">
        <f t="shared" si="2"/>
        <v>-0.1357432050000007</v>
      </c>
      <c r="G43">
        <f t="shared" si="0"/>
        <v>-0.10885378342183327</v>
      </c>
      <c r="I43">
        <f t="shared" si="3"/>
        <v>0.19834310599999999</v>
      </c>
      <c r="J43">
        <f t="shared" si="4"/>
        <v>0.13141953600000011</v>
      </c>
      <c r="K43">
        <f t="shared" si="5"/>
        <v>0.43744998374673488</v>
      </c>
      <c r="L43">
        <v>-2.6889421578167427E-2</v>
      </c>
    </row>
    <row r="44" spans="1:12" x14ac:dyDescent="0.2">
      <c r="A44" s="2">
        <v>44067.916666666664</v>
      </c>
      <c r="B44">
        <v>2.2341321129999998</v>
      </c>
      <c r="C44">
        <f t="shared" si="1"/>
        <v>3.2854883999999807E-2</v>
      </c>
      <c r="D44">
        <v>0.206120043</v>
      </c>
      <c r="E44">
        <v>-10.06865234</v>
      </c>
      <c r="F44">
        <f t="shared" si="2"/>
        <v>-0.9217727619999998</v>
      </c>
      <c r="G44">
        <f t="shared" si="0"/>
        <v>-0.93671764234227783</v>
      </c>
      <c r="I44">
        <f t="shared" si="3"/>
        <v>1.3713370000000003E-3</v>
      </c>
      <c r="J44">
        <f t="shared" si="4"/>
        <v>3.2854883999999807E-2</v>
      </c>
      <c r="K44">
        <f t="shared" si="5"/>
        <v>9.7907430142251117E-3</v>
      </c>
      <c r="L44">
        <v>1.4944880342278083E-2</v>
      </c>
    </row>
    <row r="45" spans="1:12" x14ac:dyDescent="0.2">
      <c r="A45" s="2">
        <v>44068.916666666664</v>
      </c>
      <c r="B45">
        <v>2.2669869970000001</v>
      </c>
      <c r="C45">
        <f t="shared" si="1"/>
        <v>3.2854884000000251E-2</v>
      </c>
      <c r="D45">
        <v>0.20612425100000001</v>
      </c>
      <c r="E45">
        <v>-8.9129374190000004</v>
      </c>
      <c r="F45">
        <f t="shared" si="2"/>
        <v>1.1557149209999995</v>
      </c>
      <c r="G45">
        <f t="shared" si="0"/>
        <v>1.1403174401567382</v>
      </c>
      <c r="I45">
        <f t="shared" si="3"/>
        <v>4.2080000000055406E-6</v>
      </c>
      <c r="J45">
        <f t="shared" si="4"/>
        <v>3.2854884000000251E-2</v>
      </c>
      <c r="K45">
        <f t="shared" si="5"/>
        <v>6.7815895841234486E-3</v>
      </c>
      <c r="L45">
        <v>1.5397480843261299E-2</v>
      </c>
    </row>
    <row r="46" spans="1:12" x14ac:dyDescent="0.2">
      <c r="A46" s="2">
        <v>44069.916666666664</v>
      </c>
      <c r="B46">
        <v>2.2998418809999999</v>
      </c>
      <c r="C46">
        <f t="shared" si="1"/>
        <v>3.2854883999999807E-2</v>
      </c>
      <c r="D46">
        <v>0.210613365</v>
      </c>
      <c r="E46">
        <v>-8.8262919110000002</v>
      </c>
      <c r="F46">
        <f t="shared" si="2"/>
        <v>8.6645508000000149E-2</v>
      </c>
      <c r="G46">
        <f t="shared" si="0"/>
        <v>7.2346821357562388E-2</v>
      </c>
      <c r="I46">
        <f t="shared" si="3"/>
        <v>4.4891139999999885E-3</v>
      </c>
      <c r="J46">
        <f t="shared" si="4"/>
        <v>3.2854883999999807E-2</v>
      </c>
      <c r="K46">
        <f t="shared" si="5"/>
        <v>1.709644074197525E-2</v>
      </c>
      <c r="L46">
        <v>1.4298686642437755E-2</v>
      </c>
    </row>
    <row r="47" spans="1:12" x14ac:dyDescent="0.2">
      <c r="A47" s="2">
        <v>44070.916666666664</v>
      </c>
      <c r="B47">
        <v>2.3326967650000001</v>
      </c>
      <c r="C47">
        <f t="shared" si="1"/>
        <v>3.2854884000000251E-2</v>
      </c>
      <c r="D47">
        <v>0.213531053</v>
      </c>
      <c r="E47">
        <v>-8.8840555830000003</v>
      </c>
      <c r="F47">
        <f t="shared" si="2"/>
        <v>-5.7763672000000099E-2</v>
      </c>
      <c r="G47">
        <f t="shared" si="0"/>
        <v>-7.2659350789129551E-2</v>
      </c>
      <c r="I47">
        <f t="shared" si="3"/>
        <v>2.9176880000000016E-3</v>
      </c>
      <c r="J47">
        <f t="shared" si="4"/>
        <v>3.2854884000000251E-2</v>
      </c>
      <c r="K47">
        <f t="shared" si="5"/>
        <v>1.3725759034804053E-2</v>
      </c>
      <c r="L47">
        <v>1.4895678789129452E-2</v>
      </c>
    </row>
    <row r="48" spans="1:12" x14ac:dyDescent="0.2">
      <c r="A48" s="2">
        <v>44072.916666666664</v>
      </c>
      <c r="B48">
        <v>2.3984065330000002</v>
      </c>
      <c r="C48">
        <f t="shared" si="1"/>
        <v>6.5709768000000057E-2</v>
      </c>
      <c r="D48">
        <v>0.213528836</v>
      </c>
      <c r="E48">
        <v>-8.863836161</v>
      </c>
      <c r="F48">
        <f t="shared" si="2"/>
        <v>2.0219422000000264E-2</v>
      </c>
      <c r="G48">
        <f t="shared" si="0"/>
        <v>-1.1002258870839693E-2</v>
      </c>
      <c r="I48">
        <f t="shared" si="3"/>
        <v>-2.2169999999988033E-6</v>
      </c>
      <c r="J48">
        <f t="shared" si="4"/>
        <v>6.5709768000000057E-2</v>
      </c>
      <c r="K48">
        <f t="shared" si="5"/>
        <v>1.4025758686142087E-2</v>
      </c>
      <c r="L48">
        <v>3.1221680870839957E-2</v>
      </c>
    </row>
    <row r="49" spans="1:12" x14ac:dyDescent="0.2">
      <c r="A49" s="2">
        <v>44073.916666666664</v>
      </c>
      <c r="B49">
        <v>2.431261417</v>
      </c>
      <c r="C49">
        <f t="shared" si="1"/>
        <v>3.2854883999999807E-2</v>
      </c>
      <c r="D49">
        <v>0.213531898</v>
      </c>
      <c r="E49">
        <v>-8.8840555830000003</v>
      </c>
      <c r="F49">
        <f t="shared" si="2"/>
        <v>-2.0219422000000264E-2</v>
      </c>
      <c r="G49">
        <f t="shared" si="0"/>
        <v>-3.5829622580262156E-2</v>
      </c>
      <c r="I49">
        <f t="shared" si="3"/>
        <v>3.0619999999981218E-6</v>
      </c>
      <c r="J49">
        <f t="shared" si="4"/>
        <v>3.2854883999999807E-2</v>
      </c>
      <c r="K49">
        <f t="shared" si="5"/>
        <v>7.0229096598938279E-3</v>
      </c>
      <c r="L49">
        <v>1.561020058026189E-2</v>
      </c>
    </row>
    <row r="50" spans="1:12" x14ac:dyDescent="0.2">
      <c r="A50" s="2">
        <v>44074.916666666664</v>
      </c>
      <c r="B50">
        <v>2.4641163009999998</v>
      </c>
      <c r="C50">
        <f t="shared" si="1"/>
        <v>3.2854883999999807E-2</v>
      </c>
      <c r="D50">
        <v>0.213532268</v>
      </c>
      <c r="E50">
        <v>-9.5194559729999995</v>
      </c>
      <c r="F50">
        <f t="shared" si="2"/>
        <v>-0.63540038999999915</v>
      </c>
      <c r="G50">
        <f t="shared" si="0"/>
        <v>-0.65101104037466206</v>
      </c>
      <c r="I50">
        <f t="shared" si="3"/>
        <v>3.6999999999953737E-7</v>
      </c>
      <c r="J50">
        <f t="shared" si="4"/>
        <v>3.2854883999999807E-2</v>
      </c>
      <c r="K50">
        <f t="shared" si="5"/>
        <v>7.0164774621210846E-3</v>
      </c>
      <c r="L50">
        <v>1.5610650374662869E-2</v>
      </c>
    </row>
    <row r="51" spans="1:12" x14ac:dyDescent="0.2">
      <c r="A51" s="2">
        <v>44077.916666666664</v>
      </c>
      <c r="B51">
        <v>2.5955358369999999</v>
      </c>
      <c r="C51">
        <f t="shared" si="1"/>
        <v>0.13141953600000011</v>
      </c>
      <c r="D51">
        <v>0.213523343</v>
      </c>
      <c r="E51">
        <v>-8.6685455319999996</v>
      </c>
      <c r="F51">
        <f t="shared" si="2"/>
        <v>0.85091044099999991</v>
      </c>
      <c r="G51">
        <f t="shared" si="0"/>
        <v>0.78846775723462859</v>
      </c>
      <c r="I51">
        <f t="shared" si="3"/>
        <v>-8.9249999999929663E-6</v>
      </c>
      <c r="J51">
        <f t="shared" si="4"/>
        <v>0.13141953600000011</v>
      </c>
      <c r="K51">
        <f t="shared" si="5"/>
        <v>2.8039146424242545E-2</v>
      </c>
      <c r="L51">
        <v>6.2442683765371362E-2</v>
      </c>
    </row>
    <row r="52" spans="1:12" x14ac:dyDescent="0.2">
      <c r="A52" s="2">
        <v>44079.916666666664</v>
      </c>
      <c r="B52">
        <v>2.661245605</v>
      </c>
      <c r="C52">
        <f t="shared" si="1"/>
        <v>6.5709768000000057E-2</v>
      </c>
      <c r="D52">
        <v>0.213532902</v>
      </c>
      <c r="E52">
        <v>-8.6685455319999996</v>
      </c>
      <c r="F52">
        <f t="shared" si="2"/>
        <v>0</v>
      </c>
      <c r="G52">
        <f t="shared" si="0"/>
        <v>-3.1221552603697966E-2</v>
      </c>
      <c r="I52">
        <f t="shared" si="3"/>
        <v>9.5589999999923236E-6</v>
      </c>
      <c r="J52">
        <f t="shared" si="4"/>
        <v>6.5709768000000057E-2</v>
      </c>
      <c r="K52">
        <f t="shared" si="5"/>
        <v>1.4056008177852575E-2</v>
      </c>
      <c r="L52">
        <v>3.1221552603697966E-2</v>
      </c>
    </row>
    <row r="53" spans="1:12" x14ac:dyDescent="0.2">
      <c r="A53" s="2">
        <v>44080.916666666664</v>
      </c>
      <c r="B53">
        <v>2.6941004890000002</v>
      </c>
      <c r="C53">
        <f t="shared" si="1"/>
        <v>3.2854884000000251E-2</v>
      </c>
      <c r="D53">
        <v>0.21352681900000001</v>
      </c>
      <c r="E53">
        <v>-8.8240631100000009</v>
      </c>
      <c r="F53">
        <f t="shared" si="2"/>
        <v>-0.15551757800000132</v>
      </c>
      <c r="G53">
        <f t="shared" si="0"/>
        <v>-0.17112769705011754</v>
      </c>
      <c r="I53">
        <f t="shared" si="3"/>
        <v>-6.0829999999900686E-6</v>
      </c>
      <c r="J53">
        <f t="shared" si="4"/>
        <v>3.2854884000000251E-2</v>
      </c>
      <c r="K53">
        <f t="shared" si="5"/>
        <v>6.9992105121188253E-3</v>
      </c>
      <c r="L53">
        <v>1.5610119050116208E-2</v>
      </c>
    </row>
    <row r="54" spans="1:12" x14ac:dyDescent="0.2">
      <c r="A54" s="2">
        <v>44081.916666666664</v>
      </c>
      <c r="B54">
        <v>2.726955373</v>
      </c>
      <c r="C54">
        <f t="shared" si="1"/>
        <v>3.2854883999999807E-2</v>
      </c>
      <c r="D54">
        <v>0.213508225</v>
      </c>
      <c r="E54">
        <v>-8.7129791260000005</v>
      </c>
      <c r="F54">
        <f t="shared" si="2"/>
        <v>0.11108398400000041</v>
      </c>
      <c r="G54">
        <f t="shared" si="0"/>
        <v>9.5475800450005949E-2</v>
      </c>
      <c r="I54">
        <f t="shared" si="3"/>
        <v>-1.8594000000010658E-5</v>
      </c>
      <c r="J54">
        <f t="shared" si="4"/>
        <v>3.2854883999999807E-2</v>
      </c>
      <c r="K54">
        <f t="shared" si="5"/>
        <v>6.9646938609283504E-3</v>
      </c>
      <c r="L54">
        <v>1.5608183549994464E-2</v>
      </c>
    </row>
    <row r="55" spans="1:12" x14ac:dyDescent="0.2">
      <c r="A55" s="2">
        <v>44082.916666666664</v>
      </c>
      <c r="B55">
        <v>2.7598102569999998</v>
      </c>
      <c r="C55">
        <f t="shared" si="1"/>
        <v>3.2854883999999807E-2</v>
      </c>
      <c r="D55">
        <v>0.21356244999999999</v>
      </c>
      <c r="E55">
        <v>-8.7129791260000005</v>
      </c>
      <c r="F55">
        <f t="shared" si="2"/>
        <v>0</v>
      </c>
      <c r="G55">
        <f t="shared" si="0"/>
        <v>-1.5618442420391447E-2</v>
      </c>
      <c r="I55">
        <f t="shared" si="3"/>
        <v>5.4224999999991086E-5</v>
      </c>
      <c r="J55">
        <f t="shared" si="4"/>
        <v>3.2854883999999807E-2</v>
      </c>
      <c r="K55">
        <f t="shared" si="5"/>
        <v>7.1644386766067658E-3</v>
      </c>
      <c r="L55">
        <v>1.5618442420391447E-2</v>
      </c>
    </row>
    <row r="56" spans="1:12" x14ac:dyDescent="0.2">
      <c r="A56" s="2">
        <v>44083.916666666664</v>
      </c>
      <c r="B56">
        <v>2.7926651410000001</v>
      </c>
      <c r="C56">
        <f t="shared" si="1"/>
        <v>3.2854884000000251E-2</v>
      </c>
      <c r="D56">
        <v>0.21370209700000001</v>
      </c>
      <c r="E56">
        <v>-8.6241119380000004</v>
      </c>
      <c r="F56">
        <f t="shared" si="2"/>
        <v>8.8867188000000041E-2</v>
      </c>
      <c r="G56">
        <f t="shared" si="0"/>
        <v>7.3229916327742769E-2</v>
      </c>
      <c r="I56">
        <f t="shared" si="3"/>
        <v>1.396470000000205E-4</v>
      </c>
      <c r="J56">
        <f t="shared" si="4"/>
        <v>3.2854884000000251E-2</v>
      </c>
      <c r="K56">
        <f t="shared" si="5"/>
        <v>7.4065568304511054E-3</v>
      </c>
      <c r="L56">
        <v>1.5637271672257268E-2</v>
      </c>
    </row>
    <row r="57" spans="1:12" x14ac:dyDescent="0.2">
      <c r="A57" s="2">
        <v>44084.916666666664</v>
      </c>
      <c r="B57">
        <v>2.8255200249999999</v>
      </c>
      <c r="C57">
        <f t="shared" si="1"/>
        <v>3.2854883999999807E-2</v>
      </c>
      <c r="D57">
        <v>0.21374902300000001</v>
      </c>
      <c r="E57">
        <v>-8.601895142</v>
      </c>
      <c r="F57">
        <f t="shared" si="2"/>
        <v>2.2216796000000372E-2</v>
      </c>
      <c r="G57">
        <f t="shared" si="0"/>
        <v>6.5912566398985128E-3</v>
      </c>
      <c r="I57">
        <f t="shared" si="3"/>
        <v>4.6926000000002688E-5</v>
      </c>
      <c r="J57">
        <f t="shared" si="4"/>
        <v>3.2854883999999807E-2</v>
      </c>
      <c r="K57">
        <f t="shared" si="5"/>
        <v>7.1537479601848641E-3</v>
      </c>
      <c r="L57">
        <v>1.5625539360101859E-2</v>
      </c>
    </row>
    <row r="58" spans="1:12" x14ac:dyDescent="0.2">
      <c r="A58" s="2">
        <v>44086.916666666664</v>
      </c>
      <c r="B58">
        <v>2.8912297929999999</v>
      </c>
      <c r="C58">
        <f t="shared" si="1"/>
        <v>6.5709768000000057E-2</v>
      </c>
      <c r="D58">
        <v>0.213769614</v>
      </c>
      <c r="E58">
        <v>-8.513027954</v>
      </c>
      <c r="F58">
        <f t="shared" si="2"/>
        <v>8.8867188000000041E-2</v>
      </c>
      <c r="G58">
        <f t="shared" si="0"/>
        <v>5.7627829514988869E-2</v>
      </c>
      <c r="I58">
        <f t="shared" si="3"/>
        <v>2.0590999999986481E-5</v>
      </c>
      <c r="J58">
        <f t="shared" si="4"/>
        <v>6.5709768000000057E-2</v>
      </c>
      <c r="K58">
        <f t="shared" si="5"/>
        <v>1.4104932024224248E-2</v>
      </c>
      <c r="L58">
        <v>3.1239358485011172E-2</v>
      </c>
    </row>
    <row r="59" spans="1:12" x14ac:dyDescent="0.2">
      <c r="A59" s="2">
        <v>44087.916666666664</v>
      </c>
      <c r="B59">
        <v>2.9240846770000002</v>
      </c>
      <c r="C59">
        <f t="shared" si="1"/>
        <v>3.2854884000000251E-2</v>
      </c>
      <c r="D59">
        <v>0.21378229100000001</v>
      </c>
      <c r="E59">
        <v>-8.4908111569999996</v>
      </c>
      <c r="F59">
        <f t="shared" si="2"/>
        <v>2.2216797000000454E-2</v>
      </c>
      <c r="G59">
        <f t="shared" si="0"/>
        <v>6.5955231003986328E-3</v>
      </c>
      <c r="I59">
        <f t="shared" si="3"/>
        <v>1.2677000000016481E-5</v>
      </c>
      <c r="J59">
        <f t="shared" si="4"/>
        <v>3.2854884000000251E-2</v>
      </c>
      <c r="K59">
        <f t="shared" si="5"/>
        <v>7.060444492145268E-3</v>
      </c>
      <c r="L59">
        <v>1.5621273899601822E-2</v>
      </c>
    </row>
    <row r="60" spans="1:12" x14ac:dyDescent="0.2">
      <c r="A60" s="2">
        <v>44088.916666666664</v>
      </c>
      <c r="B60">
        <v>2.956939561</v>
      </c>
      <c r="C60">
        <f t="shared" si="1"/>
        <v>3.2854883999999807E-2</v>
      </c>
      <c r="D60">
        <v>0.21376699299999999</v>
      </c>
      <c r="E60">
        <v>-8.4685943600000009</v>
      </c>
      <c r="F60">
        <f t="shared" si="2"/>
        <v>2.2216796999998678E-2</v>
      </c>
      <c r="G60">
        <f t="shared" si="0"/>
        <v>6.6039498712585822E-3</v>
      </c>
      <c r="I60">
        <f t="shared" si="3"/>
        <v>-1.5298000000024681E-5</v>
      </c>
      <c r="J60">
        <f t="shared" si="4"/>
        <v>3.2854883999999807E-2</v>
      </c>
      <c r="K60">
        <f t="shared" si="5"/>
        <v>6.9785571106548705E-3</v>
      </c>
      <c r="L60">
        <v>1.5612847128740096E-2</v>
      </c>
    </row>
    <row r="61" spans="1:12" x14ac:dyDescent="0.2">
      <c r="A61" s="2">
        <v>44089.916666666664</v>
      </c>
      <c r="B61">
        <v>2.9897944449999998</v>
      </c>
      <c r="C61">
        <f t="shared" si="1"/>
        <v>3.2854883999999807E-2</v>
      </c>
      <c r="D61">
        <v>0.21369542699999999</v>
      </c>
      <c r="E61">
        <v>-8.5574615479999991</v>
      </c>
      <c r="F61">
        <f t="shared" si="2"/>
        <v>-8.8867187999998265E-2</v>
      </c>
      <c r="G61">
        <f t="shared" si="0"/>
        <v>-0.10445914156990649</v>
      </c>
      <c r="I61">
        <f t="shared" si="3"/>
        <v>-7.1565999999995134E-5</v>
      </c>
      <c r="J61">
        <f t="shared" si="4"/>
        <v>3.2854883999999807E-2</v>
      </c>
      <c r="K61">
        <f t="shared" si="5"/>
        <v>6.8093221287929273E-3</v>
      </c>
      <c r="L61">
        <v>1.5591953569908223E-2</v>
      </c>
    </row>
    <row r="62" spans="1:12" x14ac:dyDescent="0.2">
      <c r="A62" s="2">
        <v>44090.916666666664</v>
      </c>
      <c r="B62">
        <v>3.0226493290000001</v>
      </c>
      <c r="C62">
        <f t="shared" si="1"/>
        <v>3.2854884000000251E-2</v>
      </c>
      <c r="D62">
        <v>0.213572869</v>
      </c>
      <c r="E62">
        <v>-8.5796783449999996</v>
      </c>
      <c r="F62">
        <f t="shared" si="2"/>
        <v>-2.2216797000000454E-2</v>
      </c>
      <c r="G62">
        <f t="shared" si="0"/>
        <v>-3.7785055436447147E-2</v>
      </c>
      <c r="I62">
        <f t="shared" si="3"/>
        <v>-1.2255799999999484E-4</v>
      </c>
      <c r="J62">
        <f t="shared" si="4"/>
        <v>3.2854884000000251E-2</v>
      </c>
      <c r="K62">
        <f t="shared" si="5"/>
        <v>6.6504886089520099E-3</v>
      </c>
      <c r="L62">
        <v>1.5568258436446693E-2</v>
      </c>
    </row>
    <row r="63" spans="1:12" x14ac:dyDescent="0.2">
      <c r="A63" s="2">
        <v>44091.916666666664</v>
      </c>
      <c r="B63">
        <v>3.0555042129999999</v>
      </c>
      <c r="C63">
        <f t="shared" si="1"/>
        <v>3.2854883999999807E-2</v>
      </c>
      <c r="D63">
        <v>0.21255383999999999</v>
      </c>
      <c r="E63">
        <v>-8.5574615479999991</v>
      </c>
      <c r="F63">
        <f t="shared" si="2"/>
        <v>2.2216797000000454E-2</v>
      </c>
      <c r="G63">
        <f t="shared" si="0"/>
        <v>7.0257812918505143E-3</v>
      </c>
      <c r="I63">
        <f t="shared" si="3"/>
        <v>-1.0190290000000046E-3</v>
      </c>
      <c r="J63">
        <f t="shared" si="4"/>
        <v>3.2854883999999807E-2</v>
      </c>
      <c r="K63">
        <f t="shared" si="5"/>
        <v>3.9032644338728995E-3</v>
      </c>
      <c r="L63">
        <v>1.519101570814994E-2</v>
      </c>
    </row>
    <row r="64" spans="1:12" x14ac:dyDescent="0.2">
      <c r="A64" s="2">
        <v>44093.916666666664</v>
      </c>
      <c r="B64">
        <v>3.1212139809999999</v>
      </c>
      <c r="C64">
        <f t="shared" si="1"/>
        <v>6.5709768000000057E-2</v>
      </c>
      <c r="D64">
        <v>0.208371896</v>
      </c>
      <c r="E64">
        <v>-8.5352447510000005</v>
      </c>
      <c r="F64">
        <f t="shared" si="2"/>
        <v>2.2216796999998678E-2</v>
      </c>
      <c r="G64">
        <f t="shared" si="0"/>
        <v>-6.9822365191872689E-3</v>
      </c>
      <c r="I64">
        <f t="shared" si="3"/>
        <v>-4.181943999999993E-3</v>
      </c>
      <c r="J64">
        <f t="shared" si="4"/>
        <v>6.5709768000000057E-2</v>
      </c>
      <c r="K64">
        <f t="shared" si="5"/>
        <v>9.1412143335012352E-4</v>
      </c>
      <c r="L64">
        <v>2.9199033519185947E-2</v>
      </c>
    </row>
    <row r="65" spans="1:12" x14ac:dyDescent="0.2">
      <c r="A65" s="2">
        <v>44094.916666666664</v>
      </c>
      <c r="B65">
        <v>3.1540688650000002</v>
      </c>
      <c r="C65">
        <f t="shared" si="1"/>
        <v>3.2854884000000251E-2</v>
      </c>
      <c r="D65">
        <v>0.208374534</v>
      </c>
      <c r="E65">
        <v>-8.5574615479999991</v>
      </c>
      <c r="F65">
        <f t="shared" si="2"/>
        <v>-2.2216796999998678E-2</v>
      </c>
      <c r="G65">
        <f t="shared" si="0"/>
        <v>-3.7681171575913816E-2</v>
      </c>
      <c r="I65">
        <f t="shared" si="3"/>
        <v>2.6379999999992521E-6</v>
      </c>
      <c r="J65">
        <f t="shared" si="4"/>
        <v>3.2854884000000251E-2</v>
      </c>
      <c r="K65">
        <f t="shared" si="5"/>
        <v>6.8543549056060415E-3</v>
      </c>
      <c r="L65">
        <v>1.5464374575915135E-2</v>
      </c>
    </row>
    <row r="66" spans="1:12" x14ac:dyDescent="0.2">
      <c r="A66" s="2">
        <v>44097.916666666664</v>
      </c>
      <c r="B66">
        <v>3.252633517</v>
      </c>
      <c r="C66">
        <f t="shared" si="1"/>
        <v>9.8564651999999864E-2</v>
      </c>
      <c r="D66">
        <v>0.20837283500000001</v>
      </c>
      <c r="E66">
        <v>-8.1432357789999994</v>
      </c>
      <c r="F66">
        <f t="shared" si="2"/>
        <v>0.41422576899999974</v>
      </c>
      <c r="G66">
        <f t="shared" si="0"/>
        <v>0.36783735980393706</v>
      </c>
      <c r="I66">
        <f t="shared" si="3"/>
        <v>-1.6989999999938998E-6</v>
      </c>
      <c r="J66">
        <f t="shared" si="4"/>
        <v>9.8564651999999864E-2</v>
      </c>
      <c r="K66">
        <f t="shared" si="5"/>
        <v>2.0532837205026744E-2</v>
      </c>
      <c r="L66">
        <v>4.6388409196062685E-2</v>
      </c>
    </row>
    <row r="67" spans="1:12" x14ac:dyDescent="0.2">
      <c r="A67" s="2">
        <v>44102.916666666664</v>
      </c>
      <c r="B67">
        <v>3.416907937</v>
      </c>
      <c r="C67">
        <f t="shared" si="1"/>
        <v>0.16427441999999992</v>
      </c>
      <c r="D67">
        <v>0.208356558</v>
      </c>
      <c r="E67">
        <v>-9.9131347660000007</v>
      </c>
      <c r="F67">
        <f t="shared" si="2"/>
        <v>-1.7698989870000013</v>
      </c>
      <c r="G67">
        <f t="shared" ref="G67:G130" si="6">F67-L67</f>
        <v>-1.8472025700428738</v>
      </c>
      <c r="I67">
        <f t="shared" si="3"/>
        <v>-1.6277000000008979E-5</v>
      </c>
      <c r="J67">
        <f t="shared" si="4"/>
        <v>0.16427441999999992</v>
      </c>
      <c r="K67">
        <f t="shared" si="5"/>
        <v>3.4174709602890041E-2</v>
      </c>
      <c r="L67">
        <v>7.7303583042872534E-2</v>
      </c>
    </row>
    <row r="68" spans="1:12" x14ac:dyDescent="0.2">
      <c r="A68" s="2">
        <v>44103.916666666664</v>
      </c>
      <c r="B68">
        <v>3.4497628210000002</v>
      </c>
      <c r="C68">
        <f t="shared" ref="C68:C131" si="7">B68-B67</f>
        <v>3.2854884000000251E-2</v>
      </c>
      <c r="D68">
        <v>0.20835948200000001</v>
      </c>
      <c r="E68">
        <v>-9.9353515629999993</v>
      </c>
      <c r="F68">
        <f t="shared" ref="F68:F131" si="8">E68-E67</f>
        <v>-2.2216796999998678E-2</v>
      </c>
      <c r="G68">
        <f t="shared" si="6"/>
        <v>-3.7681628321877589E-2</v>
      </c>
      <c r="I68">
        <f t="shared" ref="I68:I131" si="9">D68-D67</f>
        <v>2.9240000000152477E-6</v>
      </c>
      <c r="J68">
        <f t="shared" ref="J68:J131" si="10">B68*D68^0-B67*D67^0</f>
        <v>3.2854884000000251E-2</v>
      </c>
      <c r="K68">
        <f t="shared" ref="K68:K131" si="11">B68*D68^1-B67*D67^1</f>
        <v>6.8556176502180266E-3</v>
      </c>
      <c r="L68">
        <v>1.5464831321878912E-2</v>
      </c>
    </row>
    <row r="69" spans="1:12" x14ac:dyDescent="0.2">
      <c r="A69" s="2">
        <v>44104.916666666664</v>
      </c>
      <c r="B69">
        <v>3.482617705</v>
      </c>
      <c r="C69">
        <f t="shared" si="7"/>
        <v>3.2854883999999807E-2</v>
      </c>
      <c r="D69">
        <v>0.20836253199999999</v>
      </c>
      <c r="E69">
        <v>-10.00200195</v>
      </c>
      <c r="F69">
        <f t="shared" si="8"/>
        <v>-6.6650387000001032E-2</v>
      </c>
      <c r="G69">
        <f t="shared" si="6"/>
        <v>-8.2115484535116412E-2</v>
      </c>
      <c r="I69">
        <f t="shared" si="9"/>
        <v>3.0499999999766825E-6</v>
      </c>
      <c r="J69">
        <f t="shared" si="10"/>
        <v>3.2854883999999807E-2</v>
      </c>
      <c r="K69">
        <f t="shared" si="11"/>
        <v>6.8562485954102304E-3</v>
      </c>
      <c r="L69">
        <v>1.546509753511538E-2</v>
      </c>
    </row>
    <row r="70" spans="1:12" x14ac:dyDescent="0.2">
      <c r="A70" s="2">
        <v>44105.916666666664</v>
      </c>
      <c r="B70">
        <v>3.5154725889999998</v>
      </c>
      <c r="C70">
        <f t="shared" si="7"/>
        <v>3.2854883999999807E-2</v>
      </c>
      <c r="D70">
        <v>0.20835617000000001</v>
      </c>
      <c r="E70">
        <v>-9.9575683589999997</v>
      </c>
      <c r="F70">
        <f t="shared" si="8"/>
        <v>4.4433591000000661E-2</v>
      </c>
      <c r="G70">
        <f t="shared" si="6"/>
        <v>2.897597589246325E-2</v>
      </c>
      <c r="I70">
        <f t="shared" si="9"/>
        <v>-6.3619999999819932E-6</v>
      </c>
      <c r="J70">
        <f t="shared" si="10"/>
        <v>3.2854883999999807E-2</v>
      </c>
      <c r="K70">
        <f t="shared" si="11"/>
        <v>6.8233613821950811E-3</v>
      </c>
      <c r="L70">
        <v>1.5457615107537409E-2</v>
      </c>
    </row>
    <row r="71" spans="1:12" x14ac:dyDescent="0.2">
      <c r="A71" s="2">
        <v>44108.916666666664</v>
      </c>
      <c r="B71">
        <v>3.6140372410000001</v>
      </c>
      <c r="C71">
        <f t="shared" si="7"/>
        <v>9.8564652000000308E-2</v>
      </c>
      <c r="D71">
        <v>0.208371683</v>
      </c>
      <c r="E71">
        <v>-10.04643555</v>
      </c>
      <c r="F71">
        <f t="shared" si="8"/>
        <v>-8.886719100000029E-2</v>
      </c>
      <c r="G71">
        <f t="shared" si="6"/>
        <v>-0.13526896910993694</v>
      </c>
      <c r="I71">
        <f t="shared" si="9"/>
        <v>1.5512999999994781E-5</v>
      </c>
      <c r="J71">
        <f t="shared" si="10"/>
        <v>9.8564652000000308E-2</v>
      </c>
      <c r="K71">
        <f t="shared" si="11"/>
        <v>2.0592617947822522E-2</v>
      </c>
      <c r="L71">
        <v>4.6401778109936655E-2</v>
      </c>
    </row>
    <row r="72" spans="1:12" x14ac:dyDescent="0.2">
      <c r="A72" s="2">
        <v>44109.916666666664</v>
      </c>
      <c r="B72">
        <v>3.6468921249999999</v>
      </c>
      <c r="C72">
        <f t="shared" si="7"/>
        <v>3.2854883999999807E-2</v>
      </c>
      <c r="D72">
        <v>0.20836000199999999</v>
      </c>
      <c r="E72">
        <v>-9.9131347660000007</v>
      </c>
      <c r="F72">
        <f t="shared" si="8"/>
        <v>0.13330078399999934</v>
      </c>
      <c r="G72">
        <f t="shared" si="6"/>
        <v>0.11784857103844218</v>
      </c>
      <c r="I72">
        <f t="shared" si="9"/>
        <v>-1.1681000000013375E-5</v>
      </c>
      <c r="J72">
        <f t="shared" si="10"/>
        <v>3.2854883999999807E-2</v>
      </c>
      <c r="K72">
        <f t="shared" si="11"/>
        <v>6.8034281269375718E-3</v>
      </c>
      <c r="L72">
        <v>1.5452212961557162E-2</v>
      </c>
    </row>
    <row r="73" spans="1:12" x14ac:dyDescent="0.2">
      <c r="A73" s="2">
        <v>44114.916666666664</v>
      </c>
      <c r="B73">
        <v>3.8111665449999999</v>
      </c>
      <c r="C73">
        <f t="shared" si="7"/>
        <v>0.16427441999999992</v>
      </c>
      <c r="D73">
        <v>0.208345797</v>
      </c>
      <c r="E73">
        <v>-8.1851130170000008</v>
      </c>
      <c r="F73">
        <f t="shared" si="8"/>
        <v>1.7280217489999998</v>
      </c>
      <c r="G73">
        <f t="shared" si="6"/>
        <v>1.6507233708647679</v>
      </c>
      <c r="I73">
        <f t="shared" si="9"/>
        <v>-1.4204999999989365E-5</v>
      </c>
      <c r="J73">
        <f t="shared" si="10"/>
        <v>0.16427441999999992</v>
      </c>
      <c r="K73">
        <f t="shared" si="11"/>
        <v>3.4174080858977107E-2</v>
      </c>
      <c r="L73">
        <v>7.7298378135231965E-2</v>
      </c>
    </row>
    <row r="74" spans="1:12" x14ac:dyDescent="0.2">
      <c r="A74" s="2">
        <v>44115.916666666664</v>
      </c>
      <c r="B74">
        <v>3.8440214290000001</v>
      </c>
      <c r="C74">
        <f t="shared" si="7"/>
        <v>3.2854884000000251E-2</v>
      </c>
      <c r="D74">
        <v>0.20835068800000001</v>
      </c>
      <c r="E74">
        <v>-8.1273493450000007</v>
      </c>
      <c r="F74">
        <f t="shared" si="8"/>
        <v>5.7763672000000099E-2</v>
      </c>
      <c r="G74">
        <f t="shared" si="6"/>
        <v>4.2295981694112458E-2</v>
      </c>
      <c r="I74">
        <f t="shared" si="9"/>
        <v>4.8910000000068621E-6</v>
      </c>
      <c r="J74">
        <f t="shared" si="10"/>
        <v>3.2854884000000251E-2</v>
      </c>
      <c r="K74">
        <f t="shared" si="11"/>
        <v>6.863978101131929E-3</v>
      </c>
      <c r="L74">
        <v>1.5467690305887637E-2</v>
      </c>
    </row>
    <row r="75" spans="1:12" x14ac:dyDescent="0.2">
      <c r="A75" s="2">
        <v>44116.916666666664</v>
      </c>
      <c r="B75">
        <v>3.8768763129999999</v>
      </c>
      <c r="C75">
        <f t="shared" si="7"/>
        <v>3.2854883999999807E-2</v>
      </c>
      <c r="D75">
        <v>0.20836371100000001</v>
      </c>
      <c r="E75">
        <v>-8.0984675090000007</v>
      </c>
      <c r="F75">
        <f t="shared" si="8"/>
        <v>2.888183600000005E-2</v>
      </c>
      <c r="G75">
        <f t="shared" si="6"/>
        <v>1.3404690944110391E-2</v>
      </c>
      <c r="I75">
        <f t="shared" si="9"/>
        <v>1.3023000000000895E-5</v>
      </c>
      <c r="J75">
        <f t="shared" si="10"/>
        <v>3.2854883999999807E-2</v>
      </c>
      <c r="K75">
        <f t="shared" si="11"/>
        <v>6.8958262457843311E-3</v>
      </c>
      <c r="L75">
        <v>1.5477145055889659E-2</v>
      </c>
    </row>
    <row r="76" spans="1:12" x14ac:dyDescent="0.2">
      <c r="A76" s="2">
        <v>44140.958333333336</v>
      </c>
      <c r="B76">
        <v>4.6667624849999996</v>
      </c>
      <c r="C76">
        <f t="shared" si="7"/>
        <v>0.78988617199999966</v>
      </c>
      <c r="D76">
        <v>0.20191699900000001</v>
      </c>
      <c r="E76">
        <v>-8.0551447550000006</v>
      </c>
      <c r="F76">
        <f t="shared" si="8"/>
        <v>4.3322754000000074E-2</v>
      </c>
      <c r="G76">
        <f t="shared" si="6"/>
        <v>-0.31672154493978821</v>
      </c>
      <c r="I76">
        <f t="shared" si="9"/>
        <v>-6.4467119999999933E-3</v>
      </c>
      <c r="J76">
        <f t="shared" si="10"/>
        <v>0.78988617199999966</v>
      </c>
      <c r="K76">
        <f t="shared" si="11"/>
        <v>0.1344983403523049</v>
      </c>
      <c r="L76">
        <v>0.36004429893978829</v>
      </c>
    </row>
    <row r="77" spans="1:12" x14ac:dyDescent="0.2">
      <c r="A77" s="2">
        <v>44145.958333333336</v>
      </c>
      <c r="B77">
        <v>4.8310369050000004</v>
      </c>
      <c r="C77">
        <f t="shared" si="7"/>
        <v>0.16427442000000081</v>
      </c>
      <c r="D77">
        <v>0.21368886000000001</v>
      </c>
      <c r="E77">
        <v>-7.9251764930000004</v>
      </c>
      <c r="F77">
        <f t="shared" si="8"/>
        <v>0.12996826200000022</v>
      </c>
      <c r="G77">
        <f t="shared" si="6"/>
        <v>3.0513670957855205E-2</v>
      </c>
      <c r="I77">
        <f t="shared" si="9"/>
        <v>1.1771860999999995E-2</v>
      </c>
      <c r="J77">
        <f t="shared" si="10"/>
        <v>0.16427442000000081</v>
      </c>
      <c r="K77">
        <f t="shared" si="11"/>
        <v>9.0040092830395935E-2</v>
      </c>
      <c r="L77">
        <v>9.9454591042145019E-2</v>
      </c>
    </row>
    <row r="78" spans="1:12" x14ac:dyDescent="0.2">
      <c r="A78" s="2">
        <v>44151.958333333336</v>
      </c>
      <c r="B78">
        <v>5.0281662100000002</v>
      </c>
      <c r="C78">
        <f t="shared" si="7"/>
        <v>0.19712930499999981</v>
      </c>
      <c r="D78">
        <v>0.21357738100000001</v>
      </c>
      <c r="E78">
        <v>-7.8240900680000003</v>
      </c>
      <c r="F78">
        <f t="shared" si="8"/>
        <v>0.10108642500000009</v>
      </c>
      <c r="G78">
        <f t="shared" si="6"/>
        <v>7.632890700070144E-3</v>
      </c>
      <c r="I78">
        <f t="shared" si="9"/>
        <v>-1.1147899999999766E-4</v>
      </c>
      <c r="J78">
        <f t="shared" si="10"/>
        <v>0.19712930499999981</v>
      </c>
      <c r="K78">
        <f t="shared" si="11"/>
        <v>4.1563801517117804E-2</v>
      </c>
      <c r="L78">
        <v>9.3453534299929947E-2</v>
      </c>
    </row>
    <row r="79" spans="1:12" x14ac:dyDescent="0.2">
      <c r="A79" s="2">
        <v>44155.958333333336</v>
      </c>
      <c r="B79">
        <v>5.1595857460000003</v>
      </c>
      <c r="C79">
        <f t="shared" si="7"/>
        <v>0.13141953600000011</v>
      </c>
      <c r="D79">
        <v>0.213565112</v>
      </c>
      <c r="E79">
        <v>-7.6421330770000004</v>
      </c>
      <c r="F79">
        <f t="shared" si="8"/>
        <v>0.18195699099999985</v>
      </c>
      <c r="G79">
        <f t="shared" si="6"/>
        <v>0.11953658025186077</v>
      </c>
      <c r="I79">
        <f t="shared" si="9"/>
        <v>-1.2269000000009189E-5</v>
      </c>
      <c r="J79">
        <f t="shared" si="10"/>
        <v>0.13141953600000011</v>
      </c>
      <c r="K79">
        <f t="shared" si="11"/>
        <v>2.8004937353597326E-2</v>
      </c>
      <c r="L79">
        <v>6.2420410748139074E-2</v>
      </c>
    </row>
    <row r="80" spans="1:12" x14ac:dyDescent="0.2">
      <c r="A80" s="2">
        <v>44156.958333333336</v>
      </c>
      <c r="B80">
        <v>5.1924406300000001</v>
      </c>
      <c r="C80">
        <f t="shared" si="7"/>
        <v>3.2854883999999807E-2</v>
      </c>
      <c r="D80">
        <v>0.213561274</v>
      </c>
      <c r="E80">
        <v>-8.4753768919999999</v>
      </c>
      <c r="F80">
        <f t="shared" si="8"/>
        <v>-0.83324381499999944</v>
      </c>
      <c r="G80">
        <f t="shared" si="6"/>
        <v>-0.84884672634166902</v>
      </c>
      <c r="I80">
        <f t="shared" si="9"/>
        <v>-3.8380000000060033E-6</v>
      </c>
      <c r="J80">
        <f t="shared" si="10"/>
        <v>3.2854883999999807E-2</v>
      </c>
      <c r="K80">
        <f t="shared" si="11"/>
        <v>6.9967283940690628E-3</v>
      </c>
      <c r="L80">
        <v>1.560291134166961E-2</v>
      </c>
    </row>
    <row r="81" spans="1:12" x14ac:dyDescent="0.2">
      <c r="A81" s="2">
        <v>44165.958333333336</v>
      </c>
      <c r="B81">
        <v>5.4881345870000002</v>
      </c>
      <c r="C81">
        <f t="shared" si="7"/>
        <v>0.29569395700000012</v>
      </c>
      <c r="D81">
        <v>0.213355928</v>
      </c>
      <c r="E81">
        <v>-6.9836257929999999</v>
      </c>
      <c r="F81">
        <f t="shared" si="8"/>
        <v>1.491751099</v>
      </c>
      <c r="G81">
        <f t="shared" si="6"/>
        <v>1.3517671425852376</v>
      </c>
      <c r="I81">
        <f t="shared" si="9"/>
        <v>-2.0534599999999514E-4</v>
      </c>
      <c r="J81">
        <f t="shared" si="10"/>
        <v>0.29569395700000012</v>
      </c>
      <c r="K81">
        <f t="shared" si="11"/>
        <v>6.2021811686119088E-2</v>
      </c>
      <c r="L81">
        <v>0.13998395641476255</v>
      </c>
    </row>
    <row r="82" spans="1:12" x14ac:dyDescent="0.2">
      <c r="A82" s="2">
        <v>44166.958333333336</v>
      </c>
      <c r="B82">
        <v>5.520989471</v>
      </c>
      <c r="C82">
        <f t="shared" si="7"/>
        <v>3.2854883999999807E-2</v>
      </c>
      <c r="D82">
        <v>0.21335164300000001</v>
      </c>
      <c r="E82">
        <v>-6.9403030399999999</v>
      </c>
      <c r="F82">
        <f t="shared" si="8"/>
        <v>4.3322752999999992E-2</v>
      </c>
      <c r="G82">
        <f t="shared" si="6"/>
        <v>2.7728068848097392E-2</v>
      </c>
      <c r="I82">
        <f t="shared" si="9"/>
        <v>-4.2849999999927668E-6</v>
      </c>
      <c r="J82">
        <f t="shared" si="10"/>
        <v>3.2854883999999807E-2</v>
      </c>
      <c r="K82">
        <f t="shared" si="11"/>
        <v>6.9861268252691122E-3</v>
      </c>
      <c r="L82">
        <v>1.5594684151902601E-2</v>
      </c>
    </row>
    <row r="83" spans="1:12" x14ac:dyDescent="0.2">
      <c r="A83" s="2">
        <v>44167.958333333336</v>
      </c>
      <c r="B83">
        <v>5.5538443549999998</v>
      </c>
      <c r="C83">
        <f t="shared" si="7"/>
        <v>3.2854883999999807E-2</v>
      </c>
      <c r="D83">
        <v>0.21336498500000001</v>
      </c>
      <c r="E83">
        <v>-6.9691848749999998</v>
      </c>
      <c r="F83">
        <f t="shared" si="8"/>
        <v>-2.8881834999999967E-2</v>
      </c>
      <c r="G83">
        <f t="shared" si="6"/>
        <v>-4.4521902577598187E-2</v>
      </c>
      <c r="I83">
        <f t="shared" si="9"/>
        <v>1.3341999999999521E-5</v>
      </c>
      <c r="J83">
        <f t="shared" si="10"/>
        <v>3.2854883999999807E-2</v>
      </c>
      <c r="K83">
        <f t="shared" si="11"/>
        <v>7.0837428733587782E-3</v>
      </c>
      <c r="L83">
        <v>1.564006757759822E-2</v>
      </c>
    </row>
    <row r="84" spans="1:12" x14ac:dyDescent="0.2">
      <c r="A84" s="2">
        <v>44169.958333333336</v>
      </c>
      <c r="B84">
        <v>5.6195541230000003</v>
      </c>
      <c r="C84">
        <f t="shared" si="7"/>
        <v>6.5709768000000501E-2</v>
      </c>
      <c r="D84">
        <v>0.213361509</v>
      </c>
      <c r="E84">
        <v>-6.9980667109999999</v>
      </c>
      <c r="F84">
        <f t="shared" si="8"/>
        <v>-2.888183600000005E-2</v>
      </c>
      <c r="G84">
        <f t="shared" si="6"/>
        <v>-6.0084464606447993E-2</v>
      </c>
      <c r="I84">
        <f t="shared" si="9"/>
        <v>-3.4760000000022551E-6</v>
      </c>
      <c r="J84">
        <f t="shared" si="10"/>
        <v>6.5709768000000501E-2</v>
      </c>
      <c r="K84">
        <f t="shared" si="11"/>
        <v>1.4000630093542021E-2</v>
      </c>
      <c r="L84">
        <v>3.1202628606447944E-2</v>
      </c>
    </row>
    <row r="85" spans="1:12" x14ac:dyDescent="0.2">
      <c r="A85" s="2">
        <v>44170.958333333336</v>
      </c>
      <c r="B85">
        <v>5.6524090070000002</v>
      </c>
      <c r="C85">
        <f t="shared" si="7"/>
        <v>3.2854883999999807E-2</v>
      </c>
      <c r="D85">
        <v>0.21335595500000001</v>
      </c>
      <c r="E85">
        <v>-6.9691848749999998</v>
      </c>
      <c r="F85">
        <f t="shared" si="8"/>
        <v>2.888183600000005E-2</v>
      </c>
      <c r="G85">
        <f t="shared" si="6"/>
        <v>1.3290876362222171E-2</v>
      </c>
      <c r="I85">
        <f t="shared" si="9"/>
        <v>-5.5539999999909551E-6</v>
      </c>
      <c r="J85">
        <f t="shared" si="10"/>
        <v>3.2854883999999807E-2</v>
      </c>
      <c r="K85">
        <f t="shared" si="11"/>
        <v>6.9785741486352304E-3</v>
      </c>
      <c r="L85">
        <v>1.5590959637777879E-2</v>
      </c>
    </row>
    <row r="86" spans="1:12" x14ac:dyDescent="0.2">
      <c r="A86" s="2">
        <v>44172.958333333336</v>
      </c>
      <c r="B86">
        <v>5.7181187749999998</v>
      </c>
      <c r="C86">
        <f t="shared" si="7"/>
        <v>6.5709767999999613E-2</v>
      </c>
      <c r="D86">
        <v>0.20446704600000001</v>
      </c>
      <c r="E86">
        <v>-6.9691848749999998</v>
      </c>
      <c r="F86">
        <f t="shared" si="8"/>
        <v>0</v>
      </c>
      <c r="G86">
        <f t="shared" si="6"/>
        <v>-6.9302258766236954E-3</v>
      </c>
      <c r="I86">
        <f t="shared" si="9"/>
        <v>-8.8889090000000004E-3</v>
      </c>
      <c r="J86">
        <f t="shared" si="10"/>
        <v>6.5709767999999613E-2</v>
      </c>
      <c r="K86">
        <f t="shared" si="11"/>
        <v>-3.6808267137698136E-2</v>
      </c>
      <c r="L86">
        <v>6.9302258766236954E-3</v>
      </c>
    </row>
    <row r="87" spans="1:12" x14ac:dyDescent="0.2">
      <c r="A87" s="2">
        <v>44173.958333333336</v>
      </c>
      <c r="B87">
        <v>5.7509736589999996</v>
      </c>
      <c r="C87">
        <f t="shared" si="7"/>
        <v>3.2854883999999807E-2</v>
      </c>
      <c r="D87">
        <v>0.21108278599999999</v>
      </c>
      <c r="E87">
        <v>-6.9980667109999999</v>
      </c>
      <c r="F87">
        <f t="shared" si="8"/>
        <v>-2.888183600000005E-2</v>
      </c>
      <c r="G87">
        <f t="shared" si="6"/>
        <v>-6.2494112984930135E-2</v>
      </c>
      <c r="I87">
        <f t="shared" si="9"/>
        <v>6.6157399999999811E-3</v>
      </c>
      <c r="J87">
        <f t="shared" si="10"/>
        <v>3.2854883999999807E-2</v>
      </c>
      <c r="K87">
        <f t="shared" si="11"/>
        <v>4.4764687552945048E-2</v>
      </c>
      <c r="L87">
        <v>3.3612276984930085E-2</v>
      </c>
    </row>
    <row r="88" spans="1:12" x14ac:dyDescent="0.2">
      <c r="A88" s="2">
        <v>44174.958333333336</v>
      </c>
      <c r="B88">
        <v>5.7838285430000003</v>
      </c>
      <c r="C88">
        <f t="shared" si="7"/>
        <v>3.2854884000000695E-2</v>
      </c>
      <c r="D88">
        <v>0.213691142</v>
      </c>
      <c r="E88">
        <v>-7.0269485469999999</v>
      </c>
      <c r="F88">
        <f t="shared" si="8"/>
        <v>-2.888183600000005E-2</v>
      </c>
      <c r="G88">
        <f t="shared" si="6"/>
        <v>-5.1696732118079715E-2</v>
      </c>
      <c r="I88">
        <f t="shared" si="9"/>
        <v>2.6083560000000061E-3</v>
      </c>
      <c r="J88">
        <f t="shared" si="10"/>
        <v>3.2854884000000695E-2</v>
      </c>
      <c r="K88">
        <f t="shared" si="11"/>
        <v>2.2021384331532445E-2</v>
      </c>
      <c r="L88">
        <v>2.2814896118079665E-2</v>
      </c>
    </row>
    <row r="89" spans="1:12" x14ac:dyDescent="0.2">
      <c r="A89" s="2">
        <v>44176.958333333336</v>
      </c>
      <c r="B89">
        <v>5.8495383109999999</v>
      </c>
      <c r="C89">
        <f t="shared" si="7"/>
        <v>6.5709767999999613E-2</v>
      </c>
      <c r="D89">
        <v>0.21301730099999999</v>
      </c>
      <c r="E89">
        <v>-7.5759241739999998</v>
      </c>
      <c r="F89">
        <f t="shared" si="8"/>
        <v>-0.54897562699999991</v>
      </c>
      <c r="G89">
        <f t="shared" si="6"/>
        <v>-0.57828832538716479</v>
      </c>
      <c r="I89">
        <f t="shared" si="9"/>
        <v>-6.7384100000000835E-4</v>
      </c>
      <c r="J89">
        <f t="shared" si="10"/>
        <v>6.5709767999999613E-2</v>
      </c>
      <c r="K89">
        <f t="shared" si="11"/>
        <v>1.0099936619452299E-2</v>
      </c>
      <c r="L89">
        <v>2.9312698387164913E-2</v>
      </c>
    </row>
    <row r="90" spans="1:12" x14ac:dyDescent="0.2">
      <c r="A90" s="2">
        <v>44179.958333333336</v>
      </c>
      <c r="B90">
        <v>5.9481029630000002</v>
      </c>
      <c r="C90">
        <f t="shared" si="7"/>
        <v>9.8564652000000308E-2</v>
      </c>
      <c r="D90">
        <v>0.21330666700000001</v>
      </c>
      <c r="E90">
        <v>-6.8472132370000001</v>
      </c>
      <c r="F90">
        <f t="shared" si="8"/>
        <v>0.72871093699999978</v>
      </c>
      <c r="G90">
        <f t="shared" si="6"/>
        <v>0.68107465233411679</v>
      </c>
      <c r="I90">
        <f t="shared" si="9"/>
        <v>2.8936600000001311E-4</v>
      </c>
      <c r="J90">
        <f t="shared" si="10"/>
        <v>9.8564652000000308E-2</v>
      </c>
      <c r="K90">
        <f t="shared" si="11"/>
        <v>2.2717154905036008E-2</v>
      </c>
      <c r="L90">
        <v>4.7636284665882989E-2</v>
      </c>
    </row>
    <row r="91" spans="1:12" x14ac:dyDescent="0.2">
      <c r="A91" s="2">
        <v>44180.958333333336</v>
      </c>
      <c r="B91">
        <v>5.980957847</v>
      </c>
      <c r="C91">
        <f t="shared" si="7"/>
        <v>3.2854883999999807E-2</v>
      </c>
      <c r="D91">
        <v>0.21330666700000001</v>
      </c>
      <c r="E91">
        <v>-6.6605921429999997</v>
      </c>
      <c r="F91">
        <f t="shared" si="8"/>
        <v>0.18662109400000038</v>
      </c>
      <c r="G91">
        <f t="shared" si="6"/>
        <v>0.17101684982100632</v>
      </c>
      <c r="I91">
        <f t="shared" si="9"/>
        <v>0</v>
      </c>
      <c r="J91">
        <f t="shared" si="10"/>
        <v>3.2854883999999807E-2</v>
      </c>
      <c r="K91">
        <f t="shared" si="11"/>
        <v>7.0081658007115077E-3</v>
      </c>
      <c r="L91">
        <v>1.5604244178994069E-2</v>
      </c>
    </row>
    <row r="92" spans="1:12" x14ac:dyDescent="0.2">
      <c r="A92" s="2">
        <v>44181.958333333336</v>
      </c>
      <c r="B92">
        <v>6.0138127309999998</v>
      </c>
      <c r="C92">
        <f t="shared" si="7"/>
        <v>3.2854883999999807E-2</v>
      </c>
      <c r="D92">
        <v>0.21330666700000001</v>
      </c>
      <c r="E92">
        <v>-6.6383753460000001</v>
      </c>
      <c r="F92">
        <f t="shared" si="8"/>
        <v>2.2216796999999566E-2</v>
      </c>
      <c r="G92">
        <f t="shared" si="6"/>
        <v>6.6125528210054969E-3</v>
      </c>
      <c r="I92">
        <f t="shared" si="9"/>
        <v>0</v>
      </c>
      <c r="J92">
        <f t="shared" si="10"/>
        <v>3.2854883999999807E-2</v>
      </c>
      <c r="K92">
        <f t="shared" si="11"/>
        <v>7.0081658007115077E-3</v>
      </c>
      <c r="L92">
        <v>1.5604244178994069E-2</v>
      </c>
    </row>
    <row r="93" spans="1:12" x14ac:dyDescent="0.2">
      <c r="A93" s="2">
        <v>44182.958333333336</v>
      </c>
      <c r="B93">
        <v>6.0466676149999996</v>
      </c>
      <c r="C93">
        <f t="shared" si="7"/>
        <v>3.2854883999999807E-2</v>
      </c>
      <c r="D93">
        <v>0.21330666700000001</v>
      </c>
      <c r="E93">
        <v>-6.6383753460000001</v>
      </c>
      <c r="F93">
        <f t="shared" si="8"/>
        <v>0</v>
      </c>
      <c r="G93">
        <f t="shared" si="6"/>
        <v>-1.5604244178994262E-2</v>
      </c>
      <c r="I93">
        <f t="shared" si="9"/>
        <v>0</v>
      </c>
      <c r="J93">
        <f t="shared" si="10"/>
        <v>3.2854883999999807E-2</v>
      </c>
      <c r="K93">
        <f t="shared" si="11"/>
        <v>7.0081658007117298E-3</v>
      </c>
      <c r="L93">
        <v>1.5604244178994262E-2</v>
      </c>
    </row>
    <row r="94" spans="1:12" x14ac:dyDescent="0.2">
      <c r="A94" s="2">
        <v>44184.958333333336</v>
      </c>
      <c r="B94">
        <v>6.1123773830000001</v>
      </c>
      <c r="C94">
        <f t="shared" si="7"/>
        <v>6.5709768000000501E-2</v>
      </c>
      <c r="D94">
        <v>0.21330666700000001</v>
      </c>
      <c r="E94">
        <v>-6.6161585489999997</v>
      </c>
      <c r="F94">
        <f t="shared" si="8"/>
        <v>2.2216797000000454E-2</v>
      </c>
      <c r="G94">
        <f t="shared" si="6"/>
        <v>-8.9916913579881318E-3</v>
      </c>
      <c r="I94">
        <f t="shared" si="9"/>
        <v>0</v>
      </c>
      <c r="J94">
        <f t="shared" si="10"/>
        <v>6.5709768000000501E-2</v>
      </c>
      <c r="K94">
        <f t="shared" si="11"/>
        <v>1.4016331601423238E-2</v>
      </c>
      <c r="L94">
        <v>3.1208488357988586E-2</v>
      </c>
    </row>
    <row r="95" spans="1:12" x14ac:dyDescent="0.2">
      <c r="A95" s="2">
        <v>44185.958333333336</v>
      </c>
      <c r="B95">
        <v>6.1452322669999999</v>
      </c>
      <c r="C95">
        <f t="shared" si="7"/>
        <v>3.2854883999999807E-2</v>
      </c>
      <c r="D95">
        <v>0.21330666700000001</v>
      </c>
      <c r="E95">
        <v>-6.6383753460000001</v>
      </c>
      <c r="F95">
        <f t="shared" si="8"/>
        <v>-2.2216797000000454E-2</v>
      </c>
      <c r="G95">
        <f t="shared" si="6"/>
        <v>-3.7821041178994715E-2</v>
      </c>
      <c r="I95">
        <f t="shared" si="9"/>
        <v>0</v>
      </c>
      <c r="J95">
        <f t="shared" si="10"/>
        <v>3.2854883999999807E-2</v>
      </c>
      <c r="K95">
        <f t="shared" si="11"/>
        <v>7.0081658007117298E-3</v>
      </c>
      <c r="L95">
        <v>1.5604244178994262E-2</v>
      </c>
    </row>
    <row r="96" spans="1:12" x14ac:dyDescent="0.2">
      <c r="A96" s="2">
        <v>44186.958333333336</v>
      </c>
      <c r="B96">
        <v>6.1780871509999997</v>
      </c>
      <c r="C96">
        <f t="shared" si="7"/>
        <v>3.2854883999999807E-2</v>
      </c>
      <c r="D96">
        <v>0.21330666700000001</v>
      </c>
      <c r="E96">
        <v>-6.4006556190000001</v>
      </c>
      <c r="F96">
        <f t="shared" si="8"/>
        <v>0.23771972699999999</v>
      </c>
      <c r="G96">
        <f t="shared" si="6"/>
        <v>0.22211548282100593</v>
      </c>
      <c r="I96">
        <f t="shared" si="9"/>
        <v>0</v>
      </c>
      <c r="J96">
        <f t="shared" si="10"/>
        <v>3.2854883999999807E-2</v>
      </c>
      <c r="K96">
        <f t="shared" si="11"/>
        <v>7.0081658007115077E-3</v>
      </c>
      <c r="L96">
        <v>1.5604244178994069E-2</v>
      </c>
    </row>
    <row r="97" spans="1:12" x14ac:dyDescent="0.2">
      <c r="A97" s="2">
        <v>44187.958333333336</v>
      </c>
      <c r="B97">
        <v>6.2109420350000004</v>
      </c>
      <c r="C97">
        <f t="shared" si="7"/>
        <v>3.2854884000000695E-2</v>
      </c>
      <c r="D97">
        <v>0.21330666700000001</v>
      </c>
      <c r="E97">
        <v>-6.3562220260000002</v>
      </c>
      <c r="F97">
        <f t="shared" si="8"/>
        <v>4.4433592999999938E-2</v>
      </c>
      <c r="G97">
        <f t="shared" si="6"/>
        <v>2.8829348821005421E-2</v>
      </c>
      <c r="I97">
        <f t="shared" si="9"/>
        <v>0</v>
      </c>
      <c r="J97">
        <f t="shared" si="10"/>
        <v>3.2854884000000695E-2</v>
      </c>
      <c r="K97">
        <f t="shared" si="11"/>
        <v>7.0081658007117298E-3</v>
      </c>
      <c r="L97">
        <v>1.5604244178994519E-2</v>
      </c>
    </row>
    <row r="98" spans="1:12" x14ac:dyDescent="0.2">
      <c r="A98" s="2">
        <v>44188.958333333336</v>
      </c>
      <c r="B98">
        <v>6.2437969190000002</v>
      </c>
      <c r="C98">
        <f t="shared" si="7"/>
        <v>3.2854883999999807E-2</v>
      </c>
      <c r="D98">
        <v>0.21330666700000001</v>
      </c>
      <c r="E98">
        <v>-6.3562220260000002</v>
      </c>
      <c r="F98">
        <f t="shared" si="8"/>
        <v>0</v>
      </c>
      <c r="G98">
        <f t="shared" si="6"/>
        <v>-1.5604244178994069E-2</v>
      </c>
      <c r="I98">
        <f t="shared" si="9"/>
        <v>0</v>
      </c>
      <c r="J98">
        <f t="shared" si="10"/>
        <v>3.2854883999999807E-2</v>
      </c>
      <c r="K98">
        <f t="shared" si="11"/>
        <v>7.0081658007115077E-3</v>
      </c>
      <c r="L98">
        <v>1.5604244178994069E-2</v>
      </c>
    </row>
    <row r="99" spans="1:12" x14ac:dyDescent="0.2">
      <c r="A99" s="2">
        <v>44189.958333333336</v>
      </c>
      <c r="B99">
        <v>6.276651803</v>
      </c>
      <c r="C99">
        <f t="shared" si="7"/>
        <v>3.2854883999999807E-2</v>
      </c>
      <c r="D99">
        <v>0.21330666700000001</v>
      </c>
      <c r="E99">
        <v>-6.3340052289999997</v>
      </c>
      <c r="F99">
        <f t="shared" si="8"/>
        <v>2.2216797000000454E-2</v>
      </c>
      <c r="G99">
        <f t="shared" si="6"/>
        <v>6.6125528210061926E-3</v>
      </c>
      <c r="I99">
        <f t="shared" si="9"/>
        <v>0</v>
      </c>
      <c r="J99">
        <f t="shared" si="10"/>
        <v>3.2854883999999807E-2</v>
      </c>
      <c r="K99">
        <f t="shared" si="11"/>
        <v>7.0081658007117298E-3</v>
      </c>
      <c r="L99">
        <v>1.5604244178994262E-2</v>
      </c>
    </row>
    <row r="100" spans="1:12" x14ac:dyDescent="0.2">
      <c r="A100" s="2">
        <v>44191.958333333336</v>
      </c>
      <c r="B100">
        <v>6.3423615709999996</v>
      </c>
      <c r="C100">
        <f t="shared" si="7"/>
        <v>6.5709767999999613E-2</v>
      </c>
      <c r="D100">
        <v>0.21330666700000001</v>
      </c>
      <c r="E100">
        <v>-6.2895716349999997</v>
      </c>
      <c r="F100">
        <f t="shared" si="8"/>
        <v>4.4433594000000021E-2</v>
      </c>
      <c r="G100">
        <f t="shared" si="6"/>
        <v>1.3225105642011691E-2</v>
      </c>
      <c r="I100">
        <f t="shared" si="9"/>
        <v>0</v>
      </c>
      <c r="J100">
        <f t="shared" si="10"/>
        <v>6.5709767999999613E-2</v>
      </c>
      <c r="K100">
        <f t="shared" si="11"/>
        <v>1.4016331601423238E-2</v>
      </c>
      <c r="L100">
        <v>3.1208488357988329E-2</v>
      </c>
    </row>
    <row r="101" spans="1:12" x14ac:dyDescent="0.2">
      <c r="A101" s="2">
        <v>44192.958333333336</v>
      </c>
      <c r="B101">
        <v>6.3752164550000003</v>
      </c>
      <c r="C101">
        <f t="shared" si="7"/>
        <v>3.2854884000000695E-2</v>
      </c>
      <c r="D101">
        <v>0.21330666700000001</v>
      </c>
      <c r="E101">
        <v>-6.6450403849999997</v>
      </c>
      <c r="F101">
        <f t="shared" si="8"/>
        <v>-0.35546875</v>
      </c>
      <c r="G101">
        <f t="shared" si="6"/>
        <v>-0.37107299417899453</v>
      </c>
      <c r="I101">
        <f t="shared" si="9"/>
        <v>0</v>
      </c>
      <c r="J101">
        <f t="shared" si="10"/>
        <v>3.2854884000000695E-2</v>
      </c>
      <c r="K101">
        <f t="shared" si="11"/>
        <v>7.0081658007117298E-3</v>
      </c>
      <c r="L101">
        <v>1.5604244178994519E-2</v>
      </c>
    </row>
    <row r="102" spans="1:12" x14ac:dyDescent="0.2">
      <c r="A102" s="2">
        <v>44193.958333333336</v>
      </c>
      <c r="B102">
        <v>6.4080713390000001</v>
      </c>
      <c r="C102">
        <f t="shared" si="7"/>
        <v>3.2854883999999807E-2</v>
      </c>
      <c r="D102">
        <v>0.21330666700000001</v>
      </c>
      <c r="E102">
        <v>-6.6228235880000002</v>
      </c>
      <c r="F102">
        <f t="shared" si="8"/>
        <v>2.2216796999999566E-2</v>
      </c>
      <c r="G102">
        <f t="shared" si="6"/>
        <v>6.6125528210054969E-3</v>
      </c>
      <c r="I102">
        <f t="shared" si="9"/>
        <v>0</v>
      </c>
      <c r="J102">
        <f t="shared" si="10"/>
        <v>3.2854883999999807E-2</v>
      </c>
      <c r="K102">
        <f t="shared" si="11"/>
        <v>7.0081658007115077E-3</v>
      </c>
      <c r="L102">
        <v>1.5604244178994069E-2</v>
      </c>
    </row>
    <row r="103" spans="1:12" x14ac:dyDescent="0.2">
      <c r="A103" s="2">
        <v>44194.958333333336</v>
      </c>
      <c r="B103">
        <v>6.440926223</v>
      </c>
      <c r="C103">
        <f t="shared" si="7"/>
        <v>3.2854883999999807E-2</v>
      </c>
      <c r="D103">
        <v>0.21330666700000001</v>
      </c>
      <c r="E103">
        <v>-6.6006067909999997</v>
      </c>
      <c r="F103">
        <f t="shared" si="8"/>
        <v>2.2216797000000454E-2</v>
      </c>
      <c r="G103">
        <f t="shared" si="6"/>
        <v>6.6125528210063851E-3</v>
      </c>
      <c r="I103">
        <f t="shared" si="9"/>
        <v>0</v>
      </c>
      <c r="J103">
        <f t="shared" si="10"/>
        <v>3.2854883999999807E-2</v>
      </c>
      <c r="K103">
        <f t="shared" si="11"/>
        <v>7.0081658007115077E-3</v>
      </c>
      <c r="L103">
        <v>1.5604244178994069E-2</v>
      </c>
    </row>
    <row r="104" spans="1:12" x14ac:dyDescent="0.2">
      <c r="A104" s="2">
        <v>44196.958333333336</v>
      </c>
      <c r="B104">
        <v>6.5066359909999996</v>
      </c>
      <c r="C104">
        <f t="shared" si="7"/>
        <v>6.5709767999999613E-2</v>
      </c>
      <c r="D104">
        <v>0.21330666700000001</v>
      </c>
      <c r="E104">
        <v>-6.5561749779999996</v>
      </c>
      <c r="F104">
        <f t="shared" si="8"/>
        <v>4.4431813000000098E-2</v>
      </c>
      <c r="G104">
        <f t="shared" si="6"/>
        <v>1.3223324642011768E-2</v>
      </c>
      <c r="I104">
        <f t="shared" si="9"/>
        <v>0</v>
      </c>
      <c r="J104">
        <f t="shared" si="10"/>
        <v>6.5709767999999613E-2</v>
      </c>
      <c r="K104">
        <f t="shared" si="11"/>
        <v>1.4016331601423238E-2</v>
      </c>
      <c r="L104">
        <v>3.1208488357988329E-2</v>
      </c>
    </row>
    <row r="105" spans="1:12" x14ac:dyDescent="0.2">
      <c r="A105" s="2">
        <v>44200.958333333336</v>
      </c>
      <c r="B105">
        <v>6.6380555269999997</v>
      </c>
      <c r="C105">
        <f t="shared" si="7"/>
        <v>0.13141953600000011</v>
      </c>
      <c r="D105">
        <v>0.21330666700000001</v>
      </c>
      <c r="E105">
        <v>-7.5540456139999996</v>
      </c>
      <c r="F105">
        <f t="shared" si="8"/>
        <v>-0.99787063600000003</v>
      </c>
      <c r="G105">
        <f t="shared" si="6"/>
        <v>-1.060287612715977</v>
      </c>
      <c r="I105">
        <f t="shared" si="9"/>
        <v>0</v>
      </c>
      <c r="J105">
        <f t="shared" si="10"/>
        <v>0.13141953600000011</v>
      </c>
      <c r="K105">
        <f t="shared" si="11"/>
        <v>2.8032663202846475E-2</v>
      </c>
      <c r="L105">
        <v>6.2416976715976916E-2</v>
      </c>
    </row>
    <row r="106" spans="1:12" x14ac:dyDescent="0.2">
      <c r="A106" s="2">
        <v>44201.958333333336</v>
      </c>
      <c r="B106">
        <v>6.6709104110000004</v>
      </c>
      <c r="C106">
        <f t="shared" si="7"/>
        <v>3.2854884000000695E-2</v>
      </c>
      <c r="D106">
        <v>0.21330666700000001</v>
      </c>
      <c r="E106">
        <v>-7.650799052</v>
      </c>
      <c r="F106">
        <f t="shared" si="8"/>
        <v>-9.6753438000000358E-2</v>
      </c>
      <c r="G106">
        <f t="shared" si="6"/>
        <v>-0.11235768217899507</v>
      </c>
      <c r="I106">
        <f t="shared" si="9"/>
        <v>0</v>
      </c>
      <c r="J106">
        <f t="shared" si="10"/>
        <v>3.2854884000000695E-2</v>
      </c>
      <c r="K106">
        <f t="shared" si="11"/>
        <v>7.0081658007119518E-3</v>
      </c>
      <c r="L106">
        <v>1.5604244178994711E-2</v>
      </c>
    </row>
    <row r="107" spans="1:12" x14ac:dyDescent="0.2">
      <c r="A107" s="2">
        <v>44203.958333333336</v>
      </c>
      <c r="B107">
        <v>6.736620179</v>
      </c>
      <c r="C107">
        <f t="shared" si="7"/>
        <v>6.5709767999999613E-2</v>
      </c>
      <c r="D107">
        <v>0.21330666700000001</v>
      </c>
      <c r="E107">
        <v>-6.9849573769999997</v>
      </c>
      <c r="F107">
        <f t="shared" si="8"/>
        <v>0.66584167500000024</v>
      </c>
      <c r="G107">
        <f t="shared" si="6"/>
        <v>0.63463318664201207</v>
      </c>
      <c r="I107">
        <f t="shared" si="9"/>
        <v>0</v>
      </c>
      <c r="J107">
        <f t="shared" si="10"/>
        <v>6.5709767999999613E-2</v>
      </c>
      <c r="K107">
        <f t="shared" si="11"/>
        <v>1.4016331601423015E-2</v>
      </c>
      <c r="L107">
        <v>3.1208488357988139E-2</v>
      </c>
    </row>
    <row r="108" spans="1:12" x14ac:dyDescent="0.2">
      <c r="A108" s="2">
        <v>44206.958333333336</v>
      </c>
      <c r="B108">
        <v>6.8351848310000003</v>
      </c>
      <c r="C108">
        <f t="shared" si="7"/>
        <v>9.8564652000000308E-2</v>
      </c>
      <c r="D108">
        <v>0.21330666700000001</v>
      </c>
      <c r="E108">
        <v>-8.0175969439999992</v>
      </c>
      <c r="F108">
        <f t="shared" si="8"/>
        <v>-1.0326395669999995</v>
      </c>
      <c r="G108">
        <f t="shared" si="6"/>
        <v>-1.0794522995369824</v>
      </c>
      <c r="I108">
        <f t="shared" si="9"/>
        <v>0</v>
      </c>
      <c r="J108">
        <f t="shared" si="10"/>
        <v>9.8564652000000308E-2</v>
      </c>
      <c r="K108">
        <f t="shared" si="11"/>
        <v>2.1024497402134967E-2</v>
      </c>
      <c r="L108">
        <v>4.681273253698285E-2</v>
      </c>
    </row>
    <row r="109" spans="1:12" x14ac:dyDescent="0.2">
      <c r="A109" s="2">
        <v>44207.958333333336</v>
      </c>
      <c r="B109">
        <v>6.8680397150000001</v>
      </c>
      <c r="C109">
        <f t="shared" si="7"/>
        <v>3.2854883999999807E-2</v>
      </c>
      <c r="D109">
        <v>0.21330666700000001</v>
      </c>
      <c r="E109">
        <v>-7.7749923709999997</v>
      </c>
      <c r="F109">
        <f t="shared" si="8"/>
        <v>0.24260457299999949</v>
      </c>
      <c r="G109">
        <f t="shared" si="6"/>
        <v>0.22700032882100524</v>
      </c>
      <c r="I109">
        <f t="shared" si="9"/>
        <v>0</v>
      </c>
      <c r="J109">
        <f t="shared" si="10"/>
        <v>3.2854883999999807E-2</v>
      </c>
      <c r="K109">
        <f t="shared" si="11"/>
        <v>7.0081658007117298E-3</v>
      </c>
      <c r="L109">
        <v>1.5604244178994262E-2</v>
      </c>
    </row>
    <row r="110" spans="1:12" x14ac:dyDescent="0.2">
      <c r="A110" s="2">
        <v>44208.958333333336</v>
      </c>
      <c r="B110">
        <v>6.9008945989999999</v>
      </c>
      <c r="C110">
        <f t="shared" si="7"/>
        <v>3.2854883999999807E-2</v>
      </c>
      <c r="D110">
        <v>0.21330666700000001</v>
      </c>
      <c r="E110">
        <v>-7.7071207680000002</v>
      </c>
      <c r="F110">
        <f t="shared" si="8"/>
        <v>6.7871602999999503E-2</v>
      </c>
      <c r="G110">
        <f t="shared" si="6"/>
        <v>5.226735882100543E-2</v>
      </c>
      <c r="I110">
        <f t="shared" si="9"/>
        <v>0</v>
      </c>
      <c r="J110">
        <f t="shared" si="10"/>
        <v>3.2854883999999807E-2</v>
      </c>
      <c r="K110">
        <f t="shared" si="11"/>
        <v>7.0081658007115077E-3</v>
      </c>
      <c r="L110">
        <v>1.5604244178994069E-2</v>
      </c>
    </row>
    <row r="111" spans="1:12" x14ac:dyDescent="0.2">
      <c r="A111" s="2">
        <v>44212.958333333336</v>
      </c>
      <c r="B111">
        <v>7.032314135</v>
      </c>
      <c r="C111">
        <f t="shared" si="7"/>
        <v>0.13141953600000011</v>
      </c>
      <c r="D111">
        <v>0.21330666700000001</v>
      </c>
      <c r="E111">
        <v>-7.5814854939999998</v>
      </c>
      <c r="F111">
        <f t="shared" si="8"/>
        <v>0.12563527400000041</v>
      </c>
      <c r="G111">
        <f t="shared" si="6"/>
        <v>6.3218297284023492E-2</v>
      </c>
      <c r="I111">
        <f t="shared" si="9"/>
        <v>0</v>
      </c>
      <c r="J111">
        <f t="shared" si="10"/>
        <v>0.13141953600000011</v>
      </c>
      <c r="K111">
        <f t="shared" si="11"/>
        <v>2.8032663202846475E-2</v>
      </c>
      <c r="L111">
        <v>6.2416976715976916E-2</v>
      </c>
    </row>
    <row r="112" spans="1:12" x14ac:dyDescent="0.2">
      <c r="A112" s="2">
        <v>44213.958333333336</v>
      </c>
      <c r="B112">
        <v>7.0651690189999998</v>
      </c>
      <c r="C112">
        <f t="shared" si="7"/>
        <v>3.2854883999999807E-2</v>
      </c>
      <c r="D112">
        <v>0.21330666700000001</v>
      </c>
      <c r="E112">
        <v>-7.4948399859999997</v>
      </c>
      <c r="F112">
        <f t="shared" si="8"/>
        <v>8.6645508000000149E-2</v>
      </c>
      <c r="G112">
        <f t="shared" si="6"/>
        <v>7.1041263821005882E-2</v>
      </c>
      <c r="I112">
        <f t="shared" si="9"/>
        <v>0</v>
      </c>
      <c r="J112">
        <f t="shared" si="10"/>
        <v>3.2854883999999807E-2</v>
      </c>
      <c r="K112">
        <f t="shared" si="11"/>
        <v>7.0081658007117298E-3</v>
      </c>
      <c r="L112">
        <v>1.5604244178994262E-2</v>
      </c>
    </row>
    <row r="113" spans="1:12" x14ac:dyDescent="0.2">
      <c r="A113" s="2">
        <v>44214.958333333336</v>
      </c>
      <c r="B113">
        <v>7.0980239029999996</v>
      </c>
      <c r="C113">
        <f t="shared" si="7"/>
        <v>3.2854883999999807E-2</v>
      </c>
      <c r="D113">
        <v>0.21330666700000001</v>
      </c>
      <c r="E113">
        <v>-8.2197733559999993</v>
      </c>
      <c r="F113">
        <f t="shared" si="8"/>
        <v>-0.72493336999999958</v>
      </c>
      <c r="G113">
        <f t="shared" si="6"/>
        <v>-0.74053761417899366</v>
      </c>
      <c r="I113">
        <f t="shared" si="9"/>
        <v>0</v>
      </c>
      <c r="J113">
        <f t="shared" si="10"/>
        <v>3.2854883999999807E-2</v>
      </c>
      <c r="K113">
        <f t="shared" si="11"/>
        <v>7.0081658007115077E-3</v>
      </c>
      <c r="L113">
        <v>1.5604244178994069E-2</v>
      </c>
    </row>
    <row r="114" spans="1:12" x14ac:dyDescent="0.2">
      <c r="A114" s="2">
        <v>44215.958333333336</v>
      </c>
      <c r="B114">
        <v>7.1308787870000003</v>
      </c>
      <c r="C114">
        <f t="shared" si="7"/>
        <v>3.2854884000000695E-2</v>
      </c>
      <c r="D114">
        <v>0.21330666700000001</v>
      </c>
      <c r="E114">
        <v>-9.5614400229999994</v>
      </c>
      <c r="F114">
        <f t="shared" si="8"/>
        <v>-1.3416666670000001</v>
      </c>
      <c r="G114">
        <f t="shared" si="6"/>
        <v>-1.3572709111789947</v>
      </c>
      <c r="I114">
        <f t="shared" si="9"/>
        <v>0</v>
      </c>
      <c r="J114">
        <f t="shared" si="10"/>
        <v>3.2854884000000695E-2</v>
      </c>
      <c r="K114">
        <f t="shared" si="11"/>
        <v>7.0081658007117298E-3</v>
      </c>
      <c r="L114">
        <v>1.5604244178994519E-2</v>
      </c>
    </row>
    <row r="115" spans="1:12" x14ac:dyDescent="0.2">
      <c r="A115" s="2">
        <v>44220.958333333336</v>
      </c>
      <c r="B115">
        <v>7.2951532070000003</v>
      </c>
      <c r="C115">
        <f t="shared" si="7"/>
        <v>0.16427441999999992</v>
      </c>
      <c r="D115">
        <v>0.21330666700000001</v>
      </c>
      <c r="E115">
        <v>-9.5614400229999994</v>
      </c>
      <c r="F115">
        <f t="shared" si="8"/>
        <v>0</v>
      </c>
      <c r="G115">
        <f t="shared" si="6"/>
        <v>-7.8021220894971183E-2</v>
      </c>
      <c r="I115">
        <f t="shared" si="9"/>
        <v>0</v>
      </c>
      <c r="J115">
        <f t="shared" si="10"/>
        <v>0.16427441999999992</v>
      </c>
      <c r="K115">
        <f t="shared" si="11"/>
        <v>3.5040829003558205E-2</v>
      </c>
      <c r="L115">
        <v>7.8021220894971183E-2</v>
      </c>
    </row>
    <row r="116" spans="1:12" x14ac:dyDescent="0.2">
      <c r="A116" s="2">
        <v>44221.958333333336</v>
      </c>
      <c r="B116">
        <v>7.3280080910000001</v>
      </c>
      <c r="C116">
        <f t="shared" si="7"/>
        <v>3.2854883999999807E-2</v>
      </c>
      <c r="D116">
        <v>0.21330666700000001</v>
      </c>
      <c r="E116">
        <v>-9.5836568199999999</v>
      </c>
      <c r="F116">
        <f t="shared" si="8"/>
        <v>-2.2216797000000454E-2</v>
      </c>
      <c r="G116">
        <f t="shared" si="6"/>
        <v>-3.7821041178994527E-2</v>
      </c>
      <c r="I116">
        <f t="shared" si="9"/>
        <v>0</v>
      </c>
      <c r="J116">
        <f t="shared" si="10"/>
        <v>3.2854883999999807E-2</v>
      </c>
      <c r="K116">
        <f t="shared" si="11"/>
        <v>7.0081658007115077E-3</v>
      </c>
      <c r="L116">
        <v>1.5604244178994069E-2</v>
      </c>
    </row>
    <row r="117" spans="1:12" x14ac:dyDescent="0.2">
      <c r="A117" s="2">
        <v>44222.958333333336</v>
      </c>
      <c r="B117">
        <v>7.3608629749999999</v>
      </c>
      <c r="C117">
        <f t="shared" si="7"/>
        <v>3.2854883999999807E-2</v>
      </c>
      <c r="D117">
        <v>0.21330666700000001</v>
      </c>
      <c r="E117">
        <v>-9.5836568199999999</v>
      </c>
      <c r="F117">
        <f t="shared" si="8"/>
        <v>0</v>
      </c>
      <c r="G117">
        <f t="shared" si="6"/>
        <v>-1.5604244178994262E-2</v>
      </c>
      <c r="I117">
        <f t="shared" si="9"/>
        <v>0</v>
      </c>
      <c r="J117">
        <f t="shared" si="10"/>
        <v>3.2854883999999807E-2</v>
      </c>
      <c r="K117">
        <f t="shared" si="11"/>
        <v>7.0081658007117298E-3</v>
      </c>
      <c r="L117">
        <v>1.5604244178994262E-2</v>
      </c>
    </row>
    <row r="118" spans="1:12" x14ac:dyDescent="0.2">
      <c r="A118" s="2">
        <v>44226.958333333336</v>
      </c>
      <c r="B118">
        <v>7.492282511</v>
      </c>
      <c r="C118">
        <f t="shared" si="7"/>
        <v>0.13141953600000011</v>
      </c>
      <c r="D118">
        <v>0.21330666700000001</v>
      </c>
      <c r="E118">
        <v>-8.5442418419999999</v>
      </c>
      <c r="F118">
        <f t="shared" si="8"/>
        <v>1.0394149779999999</v>
      </c>
      <c r="G118">
        <f t="shared" si="6"/>
        <v>0.97699800128402303</v>
      </c>
      <c r="I118">
        <f t="shared" si="9"/>
        <v>0</v>
      </c>
      <c r="J118">
        <f t="shared" si="10"/>
        <v>0.13141953600000011</v>
      </c>
      <c r="K118">
        <f t="shared" si="11"/>
        <v>2.8032663202846475E-2</v>
      </c>
      <c r="L118">
        <v>6.2416976715976916E-2</v>
      </c>
    </row>
    <row r="119" spans="1:12" x14ac:dyDescent="0.2">
      <c r="A119" s="2">
        <v>44227.958333333336</v>
      </c>
      <c r="B119">
        <v>7.5251373949999998</v>
      </c>
      <c r="C119">
        <f t="shared" si="7"/>
        <v>3.2854883999999807E-2</v>
      </c>
      <c r="D119">
        <v>0.20247253600000001</v>
      </c>
      <c r="E119">
        <v>-9.5652175899999996</v>
      </c>
      <c r="F119">
        <f t="shared" si="8"/>
        <v>-1.0209757479999997</v>
      </c>
      <c r="G119">
        <f t="shared" si="6"/>
        <v>-0.98993706042768481</v>
      </c>
      <c r="I119">
        <f t="shared" si="9"/>
        <v>-1.0834130999999997E-2</v>
      </c>
      <c r="J119">
        <f t="shared" si="10"/>
        <v>3.2854883999999807E-2</v>
      </c>
      <c r="K119">
        <f t="shared" si="11"/>
        <v>-7.4520158529717273E-2</v>
      </c>
      <c r="L119">
        <v>-3.1038687572314906E-2</v>
      </c>
    </row>
    <row r="120" spans="1:12" x14ac:dyDescent="0.2">
      <c r="A120" s="2">
        <v>44228.958333333336</v>
      </c>
      <c r="B120">
        <v>7.5579922789999996</v>
      </c>
      <c r="C120">
        <f t="shared" si="7"/>
        <v>3.2854883999999807E-2</v>
      </c>
      <c r="D120">
        <v>0.202556281</v>
      </c>
      <c r="E120">
        <v>-9.5020100910000007</v>
      </c>
      <c r="F120">
        <f t="shared" si="8"/>
        <v>6.320749899999889E-2</v>
      </c>
      <c r="G120">
        <f t="shared" si="6"/>
        <v>4.7550289365161619E-2</v>
      </c>
      <c r="I120">
        <f t="shared" si="9"/>
        <v>8.3744999999996184E-5</v>
      </c>
      <c r="J120">
        <f t="shared" si="10"/>
        <v>3.2854883999999807E-2</v>
      </c>
      <c r="K120">
        <f t="shared" si="11"/>
        <v>7.2851557468707195E-3</v>
      </c>
      <c r="L120">
        <v>1.5657209634837268E-2</v>
      </c>
    </row>
    <row r="121" spans="1:12" x14ac:dyDescent="0.2">
      <c r="A121" s="2">
        <v>44229.958333333336</v>
      </c>
      <c r="B121">
        <v>7.5908471630000003</v>
      </c>
      <c r="C121">
        <f t="shared" si="7"/>
        <v>3.2854884000000695E-2</v>
      </c>
      <c r="D121">
        <v>0.20257153999999999</v>
      </c>
      <c r="E121">
        <v>-9.4832397460000006</v>
      </c>
      <c r="F121">
        <f t="shared" si="8"/>
        <v>1.8770345000000077E-2</v>
      </c>
      <c r="G121">
        <f t="shared" si="6"/>
        <v>3.4071070934774961E-3</v>
      </c>
      <c r="I121">
        <f t="shared" si="9"/>
        <v>1.5258999999989697E-5</v>
      </c>
      <c r="J121">
        <f t="shared" si="10"/>
        <v>3.2854884000000695E-2</v>
      </c>
      <c r="K121">
        <f t="shared" si="11"/>
        <v>6.7707918525867772E-3</v>
      </c>
      <c r="L121">
        <v>1.5363237906522581E-2</v>
      </c>
    </row>
    <row r="122" spans="1:12" x14ac:dyDescent="0.2">
      <c r="A122" s="2">
        <v>44230.958333333336</v>
      </c>
      <c r="B122">
        <v>7.6237020470000001</v>
      </c>
      <c r="C122">
        <f t="shared" si="7"/>
        <v>3.2854883999999807E-2</v>
      </c>
      <c r="D122">
        <v>0.20256897900000001</v>
      </c>
      <c r="E122">
        <v>-9.4832397460000006</v>
      </c>
      <c r="F122">
        <f t="shared" si="8"/>
        <v>0</v>
      </c>
      <c r="G122">
        <f t="shared" si="6"/>
        <v>-1.5285863142094741E-2</v>
      </c>
      <c r="I122">
        <f t="shared" si="9"/>
        <v>-2.5609999999842703E-6</v>
      </c>
      <c r="J122">
        <f t="shared" si="10"/>
        <v>3.2854883999999807E-2</v>
      </c>
      <c r="K122">
        <f t="shared" si="11"/>
        <v>6.6359401474589408E-3</v>
      </c>
      <c r="L122">
        <v>1.5285863142094741E-2</v>
      </c>
    </row>
    <row r="123" spans="1:12" x14ac:dyDescent="0.2">
      <c r="A123" s="2">
        <v>44231.958333333336</v>
      </c>
      <c r="B123">
        <v>7.6565569309999999</v>
      </c>
      <c r="C123">
        <f t="shared" si="7"/>
        <v>3.2854883999999807E-2</v>
      </c>
      <c r="D123">
        <v>0.20256559599999999</v>
      </c>
      <c r="E123">
        <v>-9.4388061519999997</v>
      </c>
      <c r="F123">
        <f t="shared" si="8"/>
        <v>4.4433594000000909E-2</v>
      </c>
      <c r="G123">
        <f t="shared" si="6"/>
        <v>2.9151510332451287E-2</v>
      </c>
      <c r="I123">
        <f t="shared" si="9"/>
        <v>-3.3830000000234506E-6</v>
      </c>
      <c r="J123">
        <f t="shared" si="10"/>
        <v>3.2854883999999807E-2</v>
      </c>
      <c r="K123">
        <f t="shared" si="11"/>
        <v>6.6294781749456355E-3</v>
      </c>
      <c r="L123">
        <v>1.5282083667549622E-2</v>
      </c>
    </row>
    <row r="124" spans="1:12" x14ac:dyDescent="0.2">
      <c r="A124" s="2">
        <v>44234.958333333336</v>
      </c>
      <c r="B124">
        <v>7.7551215830000002</v>
      </c>
      <c r="C124">
        <f t="shared" si="7"/>
        <v>9.8564652000000308E-2</v>
      </c>
      <c r="D124">
        <v>0.202555755</v>
      </c>
      <c r="E124">
        <v>-9.3499389649999998</v>
      </c>
      <c r="F124">
        <f t="shared" si="8"/>
        <v>8.8867186999999959E-2</v>
      </c>
      <c r="G124">
        <f t="shared" si="6"/>
        <v>4.3020709782071703E-2</v>
      </c>
      <c r="I124">
        <f t="shared" si="9"/>
        <v>-9.8409999999826692E-6</v>
      </c>
      <c r="J124">
        <f t="shared" si="10"/>
        <v>9.8564652000000308E-2</v>
      </c>
      <c r="K124">
        <f t="shared" si="11"/>
        <v>1.9889489325414456E-2</v>
      </c>
      <c r="L124">
        <v>4.5846477217928255E-2</v>
      </c>
    </row>
    <row r="125" spans="1:12" x14ac:dyDescent="0.2">
      <c r="A125" s="2">
        <v>44236.958333333336</v>
      </c>
      <c r="B125">
        <v>7.8208313509999998</v>
      </c>
      <c r="C125">
        <f t="shared" si="7"/>
        <v>6.5709767999999613E-2</v>
      </c>
      <c r="D125">
        <v>0.20613300900000001</v>
      </c>
      <c r="E125">
        <v>-9.2388549799999993</v>
      </c>
      <c r="F125">
        <f t="shared" si="8"/>
        <v>0.1110839850000005</v>
      </c>
      <c r="G125">
        <f t="shared" si="6"/>
        <v>6.4168814935598312E-2</v>
      </c>
      <c r="I125">
        <f t="shared" si="9"/>
        <v>3.5772540000000019E-3</v>
      </c>
      <c r="J125">
        <f t="shared" si="10"/>
        <v>6.5709767999999613E-2</v>
      </c>
      <c r="K125">
        <f t="shared" si="11"/>
        <v>4.128699190180507E-2</v>
      </c>
      <c r="L125">
        <v>4.6915170064402177E-2</v>
      </c>
    </row>
    <row r="126" spans="1:12" x14ac:dyDescent="0.2">
      <c r="A126" s="2">
        <v>44237.958333333336</v>
      </c>
      <c r="B126">
        <v>7.8536862349999996</v>
      </c>
      <c r="C126">
        <f t="shared" si="7"/>
        <v>3.2854883999999807E-2</v>
      </c>
      <c r="D126">
        <v>0.20613300900000001</v>
      </c>
      <c r="E126">
        <v>-9.3277221679999993</v>
      </c>
      <c r="F126">
        <f t="shared" si="8"/>
        <v>-8.8867188000000041E-2</v>
      </c>
      <c r="G126">
        <f t="shared" si="6"/>
        <v>-0.10426619137588963</v>
      </c>
      <c r="I126">
        <f t="shared" si="9"/>
        <v>0</v>
      </c>
      <c r="J126">
        <f t="shared" si="10"/>
        <v>3.2854883999999807E-2</v>
      </c>
      <c r="K126">
        <f t="shared" si="11"/>
        <v>6.7724760992657895E-3</v>
      </c>
      <c r="L126">
        <v>1.5399003375889597E-2</v>
      </c>
    </row>
    <row r="127" spans="1:12" x14ac:dyDescent="0.2">
      <c r="A127" s="2">
        <v>44238.958333333336</v>
      </c>
      <c r="B127">
        <v>7.8865411190000003</v>
      </c>
      <c r="C127">
        <f t="shared" si="7"/>
        <v>3.2854884000000695E-2</v>
      </c>
      <c r="D127">
        <v>0.20613300900000001</v>
      </c>
      <c r="E127">
        <v>-9.2610717769999997</v>
      </c>
      <c r="F127">
        <f t="shared" si="8"/>
        <v>6.6650390999999587E-2</v>
      </c>
      <c r="G127">
        <f t="shared" si="6"/>
        <v>5.1251387624109343E-2</v>
      </c>
      <c r="I127">
        <f t="shared" si="9"/>
        <v>0</v>
      </c>
      <c r="J127">
        <f t="shared" si="10"/>
        <v>3.2854884000000695E-2</v>
      </c>
      <c r="K127">
        <f t="shared" si="11"/>
        <v>6.7724760992662336E-3</v>
      </c>
      <c r="L127">
        <v>1.539900337589024E-2</v>
      </c>
    </row>
    <row r="128" spans="1:12" x14ac:dyDescent="0.2">
      <c r="A128" s="2">
        <v>44239.958333333336</v>
      </c>
      <c r="B128">
        <v>7.9193960030000001</v>
      </c>
      <c r="C128">
        <f t="shared" si="7"/>
        <v>3.2854883999999807E-2</v>
      </c>
      <c r="D128">
        <v>0.20613300900000001</v>
      </c>
      <c r="E128">
        <v>-9.2166381840000007</v>
      </c>
      <c r="F128">
        <f t="shared" si="8"/>
        <v>4.443359299999905E-2</v>
      </c>
      <c r="G128">
        <f t="shared" si="6"/>
        <v>2.9034589624109451E-2</v>
      </c>
      <c r="I128">
        <f t="shared" si="9"/>
        <v>0</v>
      </c>
      <c r="J128">
        <f t="shared" si="10"/>
        <v>3.2854883999999807E-2</v>
      </c>
      <c r="K128">
        <f t="shared" si="11"/>
        <v>6.7724760992657895E-3</v>
      </c>
      <c r="L128">
        <v>1.5399003375889597E-2</v>
      </c>
    </row>
    <row r="129" spans="1:12" x14ac:dyDescent="0.2">
      <c r="A129" s="2">
        <v>44241.958333333336</v>
      </c>
      <c r="B129">
        <v>7.9851057709999997</v>
      </c>
      <c r="C129">
        <f t="shared" si="7"/>
        <v>6.5709767999999613E-2</v>
      </c>
      <c r="D129">
        <v>0.20613300900000001</v>
      </c>
      <c r="E129">
        <v>-9.2166381840000007</v>
      </c>
      <c r="F129">
        <f t="shared" si="8"/>
        <v>0</v>
      </c>
      <c r="G129">
        <f t="shared" si="6"/>
        <v>-3.0798006751779385E-2</v>
      </c>
      <c r="I129">
        <f t="shared" si="9"/>
        <v>0</v>
      </c>
      <c r="J129">
        <f t="shared" si="10"/>
        <v>6.5709767999999613E-2</v>
      </c>
      <c r="K129">
        <f t="shared" si="11"/>
        <v>1.3544952198531801E-2</v>
      </c>
      <c r="L129">
        <v>3.0798006751779385E-2</v>
      </c>
    </row>
    <row r="130" spans="1:12" x14ac:dyDescent="0.2">
      <c r="A130" s="2">
        <v>44242.958333333336</v>
      </c>
      <c r="B130">
        <v>8.0179606549999995</v>
      </c>
      <c r="C130">
        <f t="shared" si="7"/>
        <v>3.2854883999999807E-2</v>
      </c>
      <c r="D130">
        <v>0.20613300900000001</v>
      </c>
      <c r="E130">
        <v>-9.1944213870000002</v>
      </c>
      <c r="F130">
        <f t="shared" si="8"/>
        <v>2.2216797000000454E-2</v>
      </c>
      <c r="G130">
        <f t="shared" si="6"/>
        <v>6.817793624110665E-3</v>
      </c>
      <c r="I130">
        <f t="shared" si="9"/>
        <v>0</v>
      </c>
      <c r="J130">
        <f t="shared" si="10"/>
        <v>3.2854883999999807E-2</v>
      </c>
      <c r="K130">
        <f t="shared" si="11"/>
        <v>6.7724760992660116E-3</v>
      </c>
      <c r="L130">
        <v>1.5399003375889789E-2</v>
      </c>
    </row>
    <row r="131" spans="1:12" x14ac:dyDescent="0.2">
      <c r="A131" s="2">
        <v>44243.958333333336</v>
      </c>
      <c r="B131">
        <v>8.0508155390000002</v>
      </c>
      <c r="C131">
        <f t="shared" si="7"/>
        <v>3.2854884000000695E-2</v>
      </c>
      <c r="D131">
        <v>0.20613300900000001</v>
      </c>
      <c r="E131">
        <v>-9.1722045899999998</v>
      </c>
      <c r="F131">
        <f t="shared" si="8"/>
        <v>2.2216797000000454E-2</v>
      </c>
      <c r="G131">
        <f t="shared" ref="G131:G194" si="12">F131-L131</f>
        <v>6.8177936241104083E-3</v>
      </c>
      <c r="I131">
        <f t="shared" si="9"/>
        <v>0</v>
      </c>
      <c r="J131">
        <f t="shared" si="10"/>
        <v>3.2854884000000695E-2</v>
      </c>
      <c r="K131">
        <f t="shared" si="11"/>
        <v>6.7724760992660116E-3</v>
      </c>
      <c r="L131">
        <v>1.5399003375890046E-2</v>
      </c>
    </row>
    <row r="132" spans="1:12" x14ac:dyDescent="0.2">
      <c r="A132" s="2">
        <v>44244.958333333336</v>
      </c>
      <c r="B132">
        <v>8.0836704229999992</v>
      </c>
      <c r="C132">
        <f t="shared" ref="C132:C195" si="13">B132-B131</f>
        <v>3.2854883999998918E-2</v>
      </c>
      <c r="D132">
        <v>0.20613300900000001</v>
      </c>
      <c r="E132">
        <v>-9.1499877929999993</v>
      </c>
      <c r="F132">
        <f t="shared" ref="F132:F195" si="14">E132-E131</f>
        <v>2.2216797000000454E-2</v>
      </c>
      <c r="G132">
        <f t="shared" si="12"/>
        <v>6.8177936241111143E-3</v>
      </c>
      <c r="I132">
        <f t="shared" ref="I132:I195" si="15">D132-D131</f>
        <v>0</v>
      </c>
      <c r="J132">
        <f t="shared" ref="J132:J195" si="16">B132*D132^0-B131*D131^0</f>
        <v>3.2854883999998918E-2</v>
      </c>
      <c r="K132">
        <f t="shared" ref="K132:K195" si="17">B132*D132^1-B131*D131^1</f>
        <v>6.7724760992657895E-3</v>
      </c>
      <c r="L132">
        <v>1.539900337588934E-2</v>
      </c>
    </row>
    <row r="133" spans="1:12" x14ac:dyDescent="0.2">
      <c r="A133" s="2">
        <v>44247.958333333336</v>
      </c>
      <c r="B133">
        <v>8.1822350749999995</v>
      </c>
      <c r="C133">
        <f t="shared" si="13"/>
        <v>9.8564652000000308E-2</v>
      </c>
      <c r="D133">
        <v>0.21386704100000001</v>
      </c>
      <c r="E133">
        <v>-9.1499877929999993</v>
      </c>
      <c r="F133">
        <f t="shared" si="14"/>
        <v>0</v>
      </c>
      <c r="G133">
        <f t="shared" si="12"/>
        <v>-8.3918909919709211E-2</v>
      </c>
      <c r="I133">
        <f t="shared" si="15"/>
        <v>7.7340320000000018E-3</v>
      </c>
      <c r="J133">
        <f t="shared" si="16"/>
        <v>9.8564652000000308E-2</v>
      </c>
      <c r="K133">
        <f t="shared" si="17"/>
        <v>8.3599096199370448E-2</v>
      </c>
      <c r="L133">
        <v>8.3918909919709211E-2</v>
      </c>
    </row>
    <row r="134" spans="1:12" x14ac:dyDescent="0.2">
      <c r="A134" s="2">
        <v>44248.958333333336</v>
      </c>
      <c r="B134">
        <v>8.2150899590000002</v>
      </c>
      <c r="C134">
        <f t="shared" si="13"/>
        <v>3.2854884000000695E-2</v>
      </c>
      <c r="D134">
        <v>0.21385611800000001</v>
      </c>
      <c r="E134">
        <v>-9.1722045899999998</v>
      </c>
      <c r="F134">
        <f t="shared" si="14"/>
        <v>-2.2216797000000454E-2</v>
      </c>
      <c r="G134">
        <f t="shared" si="12"/>
        <v>-3.7783485415258736E-2</v>
      </c>
      <c r="I134">
        <f t="shared" si="15"/>
        <v>-1.0922999999996019E-5</v>
      </c>
      <c r="J134">
        <f t="shared" si="16"/>
        <v>3.2854884000000695E-2</v>
      </c>
      <c r="K134">
        <f t="shared" si="17"/>
        <v>6.936843395856096E-3</v>
      </c>
      <c r="L134">
        <v>1.5566688415258285E-2</v>
      </c>
    </row>
    <row r="135" spans="1:12" x14ac:dyDescent="0.2">
      <c r="A135" s="2">
        <v>44249.958333333336</v>
      </c>
      <c r="B135">
        <v>8.2479448430000009</v>
      </c>
      <c r="C135">
        <f t="shared" si="13"/>
        <v>3.2854884000000695E-2</v>
      </c>
      <c r="D135">
        <v>0.20863715199999999</v>
      </c>
      <c r="E135">
        <v>-9.1277709960000006</v>
      </c>
      <c r="F135">
        <f t="shared" si="14"/>
        <v>4.4433593999999133E-2</v>
      </c>
      <c r="G135">
        <f t="shared" si="12"/>
        <v>5.4567201595865977E-2</v>
      </c>
      <c r="I135">
        <f t="shared" si="15"/>
        <v>-5.2189660000000193E-3</v>
      </c>
      <c r="J135">
        <f t="shared" si="16"/>
        <v>3.2854884000000695E-2</v>
      </c>
      <c r="K135">
        <f t="shared" si="17"/>
        <v>-3.6019525755911941E-2</v>
      </c>
      <c r="L135">
        <v>-1.0133607595866845E-2</v>
      </c>
    </row>
    <row r="136" spans="1:12" x14ac:dyDescent="0.2">
      <c r="A136" s="2">
        <v>44250.958333333336</v>
      </c>
      <c r="B136">
        <v>8.2807997269999998</v>
      </c>
      <c r="C136">
        <f t="shared" si="13"/>
        <v>3.2854883999998918E-2</v>
      </c>
      <c r="D136">
        <v>0.20619053000000001</v>
      </c>
      <c r="E136">
        <v>-9.1277709960000006</v>
      </c>
      <c r="F136">
        <f t="shared" si="14"/>
        <v>0</v>
      </c>
      <c r="G136">
        <f t="shared" si="12"/>
        <v>-3.3275190230633838E-3</v>
      </c>
      <c r="I136">
        <f t="shared" si="15"/>
        <v>-2.4466219999999816E-3</v>
      </c>
      <c r="J136">
        <f t="shared" si="16"/>
        <v>3.2854883999998918E-2</v>
      </c>
      <c r="K136">
        <f t="shared" si="17"/>
        <v>-1.3405237362621891E-2</v>
      </c>
      <c r="L136">
        <v>3.3275190230633838E-3</v>
      </c>
    </row>
    <row r="137" spans="1:12" x14ac:dyDescent="0.2">
      <c r="A137" s="2">
        <v>44252.958333333336</v>
      </c>
      <c r="B137">
        <v>8.3465094949999994</v>
      </c>
      <c r="C137">
        <f t="shared" si="13"/>
        <v>6.5709767999999613E-2</v>
      </c>
      <c r="D137">
        <v>0.199789156</v>
      </c>
      <c r="E137">
        <v>-9.1277709960000006</v>
      </c>
      <c r="F137">
        <f t="shared" si="14"/>
        <v>0</v>
      </c>
      <c r="G137">
        <f t="shared" si="12"/>
        <v>1.3364346892374493E-3</v>
      </c>
      <c r="I137">
        <f t="shared" si="15"/>
        <v>-6.4013740000000152E-3</v>
      </c>
      <c r="J137">
        <f t="shared" si="16"/>
        <v>6.5709767999999613E-2</v>
      </c>
      <c r="K137">
        <f t="shared" si="17"/>
        <v>-3.9880396981949229E-2</v>
      </c>
      <c r="L137">
        <v>-1.3364346892374493E-3</v>
      </c>
    </row>
    <row r="138" spans="1:12" x14ac:dyDescent="0.2">
      <c r="A138" s="2">
        <v>44254.958333333336</v>
      </c>
      <c r="B138">
        <v>8.4122192630000008</v>
      </c>
      <c r="C138">
        <f t="shared" si="13"/>
        <v>6.570976800000139E-2</v>
      </c>
      <c r="D138">
        <v>0.212830082</v>
      </c>
      <c r="E138">
        <v>-9.1055541990000002</v>
      </c>
      <c r="F138">
        <f t="shared" si="14"/>
        <v>2.2216797000000454E-2</v>
      </c>
      <c r="G138">
        <f t="shared" si="12"/>
        <v>-7.4435645558696098E-2</v>
      </c>
      <c r="I138">
        <f t="shared" si="15"/>
        <v>1.3040926000000008E-2</v>
      </c>
      <c r="J138">
        <f t="shared" si="16"/>
        <v>6.570976800000139E-2</v>
      </c>
      <c r="K138">
        <f t="shared" si="17"/>
        <v>0.12283122799423363</v>
      </c>
      <c r="L138">
        <v>9.6652442558696552E-2</v>
      </c>
    </row>
    <row r="139" spans="1:12" x14ac:dyDescent="0.2">
      <c r="A139" s="2">
        <v>44255.958333333336</v>
      </c>
      <c r="B139">
        <v>8.4450741469999997</v>
      </c>
      <c r="C139">
        <f t="shared" si="13"/>
        <v>3.2854883999998918E-2</v>
      </c>
      <c r="D139">
        <v>0.21395024900000001</v>
      </c>
      <c r="E139">
        <v>-9.1277709960000006</v>
      </c>
      <c r="F139">
        <f t="shared" si="14"/>
        <v>-2.2216797000000454E-2</v>
      </c>
      <c r="G139">
        <f t="shared" si="12"/>
        <v>-4.3527285493823106E-2</v>
      </c>
      <c r="I139">
        <f t="shared" si="15"/>
        <v>1.1201670000000052E-3</v>
      </c>
      <c r="J139">
        <f t="shared" si="16"/>
        <v>3.2854883999998918E-2</v>
      </c>
      <c r="K139">
        <f t="shared" si="17"/>
        <v>1.6452401027842845E-2</v>
      </c>
      <c r="L139">
        <v>2.1310488493822652E-2</v>
      </c>
    </row>
    <row r="140" spans="1:12" x14ac:dyDescent="0.2">
      <c r="A140" s="2">
        <v>44256.958333333336</v>
      </c>
      <c r="B140">
        <v>8.4779290310000004</v>
      </c>
      <c r="C140">
        <f t="shared" si="13"/>
        <v>3.2854884000000695E-2</v>
      </c>
      <c r="D140">
        <v>0.213954635</v>
      </c>
      <c r="E140">
        <v>-9.1277709960000006</v>
      </c>
      <c r="F140">
        <f t="shared" si="14"/>
        <v>0</v>
      </c>
      <c r="G140">
        <f t="shared" si="12"/>
        <v>-1.5645178882122371E-2</v>
      </c>
      <c r="I140">
        <f t="shared" si="15"/>
        <v>4.385999999995116E-6</v>
      </c>
      <c r="J140">
        <f t="shared" si="16"/>
        <v>3.2854884000000695E-2</v>
      </c>
      <c r="K140">
        <f t="shared" si="17"/>
        <v>7.0664948093961399E-3</v>
      </c>
      <c r="L140">
        <v>1.5645178882122371E-2</v>
      </c>
    </row>
    <row r="141" spans="1:12" x14ac:dyDescent="0.2">
      <c r="A141" s="2">
        <v>44261.958333333336</v>
      </c>
      <c r="B141">
        <v>8.6422034510000003</v>
      </c>
      <c r="C141">
        <f t="shared" si="13"/>
        <v>0.16427441999999992</v>
      </c>
      <c r="D141">
        <v>0.20278383899999999</v>
      </c>
      <c r="E141">
        <v>-9.1277709960000006</v>
      </c>
      <c r="F141">
        <f t="shared" si="14"/>
        <v>0</v>
      </c>
      <c r="G141">
        <f t="shared" si="12"/>
        <v>-1.9155167471005138E-2</v>
      </c>
      <c r="I141">
        <f t="shared" si="15"/>
        <v>-1.1170796000000011E-2</v>
      </c>
      <c r="J141">
        <f t="shared" si="16"/>
        <v>0.16427441999999992</v>
      </c>
      <c r="K141">
        <f t="shared" si="17"/>
        <v>-6.1393018170680325E-2</v>
      </c>
      <c r="L141">
        <v>1.9155167471005138E-2</v>
      </c>
    </row>
    <row r="142" spans="1:12" x14ac:dyDescent="0.2">
      <c r="A142" s="2">
        <v>44262.958333333336</v>
      </c>
      <c r="B142">
        <v>8.6750583349999992</v>
      </c>
      <c r="C142">
        <f t="shared" si="13"/>
        <v>3.2854883999998918E-2</v>
      </c>
      <c r="D142">
        <v>0.21399869699999999</v>
      </c>
      <c r="E142">
        <v>-9.1277709960000006</v>
      </c>
      <c r="F142">
        <f t="shared" si="14"/>
        <v>0</v>
      </c>
      <c r="G142">
        <f t="shared" si="12"/>
        <v>-7.4815346161264631E-2</v>
      </c>
      <c r="I142">
        <f t="shared" si="15"/>
        <v>1.1214857999999994E-2</v>
      </c>
      <c r="J142">
        <f t="shared" si="16"/>
        <v>3.2854883999998918E-2</v>
      </c>
      <c r="K142">
        <f t="shared" si="17"/>
        <v>0.1039519868761607</v>
      </c>
      <c r="L142">
        <v>7.4815346161264631E-2</v>
      </c>
    </row>
    <row r="143" spans="1:12" x14ac:dyDescent="0.2">
      <c r="A143" s="2">
        <v>44263.958333333336</v>
      </c>
      <c r="B143">
        <v>8.7079132189999999</v>
      </c>
      <c r="C143">
        <f t="shared" si="13"/>
        <v>3.2854884000000695E-2</v>
      </c>
      <c r="D143">
        <v>0.21400918399999999</v>
      </c>
      <c r="E143">
        <v>-9.0544591269999994</v>
      </c>
      <c r="F143">
        <f t="shared" si="14"/>
        <v>7.3311869000001195E-2</v>
      </c>
      <c r="G143">
        <f t="shared" si="12"/>
        <v>5.7631875818455372E-2</v>
      </c>
      <c r="I143">
        <f t="shared" si="15"/>
        <v>1.0487000000003466E-5</v>
      </c>
      <c r="J143">
        <f t="shared" si="16"/>
        <v>3.2854884000000695E-2</v>
      </c>
      <c r="K143">
        <f t="shared" si="17"/>
        <v>7.1222222520139766E-3</v>
      </c>
      <c r="L143">
        <v>1.5679993181545823E-2</v>
      </c>
    </row>
    <row r="144" spans="1:12" x14ac:dyDescent="0.2">
      <c r="A144" s="2">
        <v>44264.958333333336</v>
      </c>
      <c r="B144">
        <v>8.7407681030000006</v>
      </c>
      <c r="C144">
        <f t="shared" si="13"/>
        <v>3.2854884000000695E-2</v>
      </c>
      <c r="D144">
        <v>0.213706598</v>
      </c>
      <c r="E144">
        <v>-9.1499877929999993</v>
      </c>
      <c r="F144">
        <f t="shared" si="14"/>
        <v>-9.5528665999999873E-2</v>
      </c>
      <c r="G144">
        <f t="shared" si="12"/>
        <v>-0.1095300086215998</v>
      </c>
      <c r="I144">
        <f t="shared" si="15"/>
        <v>-3.0258599999999358E-4</v>
      </c>
      <c r="J144">
        <f t="shared" si="16"/>
        <v>3.2854884000000695E-2</v>
      </c>
      <c r="K144">
        <f t="shared" si="17"/>
        <v>4.3864128580406447E-3</v>
      </c>
      <c r="L144">
        <v>1.4001342621599921E-2</v>
      </c>
    </row>
    <row r="145" spans="1:12" x14ac:dyDescent="0.2">
      <c r="A145" s="2">
        <v>44293.916666666664</v>
      </c>
      <c r="B145">
        <v>9.6921907879999996</v>
      </c>
      <c r="C145">
        <f t="shared" si="13"/>
        <v>0.95142268499999894</v>
      </c>
      <c r="D145">
        <v>0.20257824199999999</v>
      </c>
      <c r="E145">
        <v>-8.7540837610000004</v>
      </c>
      <c r="F145">
        <f t="shared" si="14"/>
        <v>0.39590403199999891</v>
      </c>
      <c r="G145">
        <f t="shared" si="12"/>
        <v>1.260961918861081E-2</v>
      </c>
      <c r="I145">
        <f t="shared" si="15"/>
        <v>-1.1128356000000006E-2</v>
      </c>
      <c r="J145">
        <f t="shared" si="16"/>
        <v>0.95142268499999894</v>
      </c>
      <c r="K145">
        <f t="shared" si="17"/>
        <v>9.5467155762590794E-2</v>
      </c>
      <c r="L145">
        <v>0.3832944128113881</v>
      </c>
    </row>
    <row r="146" spans="1:12" x14ac:dyDescent="0.2">
      <c r="A146" s="2">
        <v>44294.916666666664</v>
      </c>
      <c r="B146">
        <v>9.7250456720000003</v>
      </c>
      <c r="C146">
        <f t="shared" si="13"/>
        <v>3.2854884000000695E-2</v>
      </c>
      <c r="D146">
        <v>0.210583038</v>
      </c>
      <c r="E146">
        <v>-9.2421875</v>
      </c>
      <c r="F146">
        <f t="shared" si="14"/>
        <v>-0.48810373899999959</v>
      </c>
      <c r="G146">
        <f t="shared" si="12"/>
        <v>-0.55319795595707755</v>
      </c>
      <c r="I146">
        <f t="shared" si="15"/>
        <v>8.0047960000000085E-3</v>
      </c>
      <c r="J146">
        <f t="shared" si="16"/>
        <v>3.2854884000000695E-2</v>
      </c>
      <c r="K146">
        <f t="shared" si="17"/>
        <v>8.4502691336876934E-2</v>
      </c>
      <c r="L146">
        <v>6.5094216957077913E-2</v>
      </c>
    </row>
    <row r="147" spans="1:12" x14ac:dyDescent="0.2">
      <c r="A147" s="2">
        <v>44295.916666666664</v>
      </c>
      <c r="B147">
        <v>9.7579005559999992</v>
      </c>
      <c r="C147">
        <f t="shared" si="13"/>
        <v>3.2854883999998918E-2</v>
      </c>
      <c r="D147">
        <v>0.212281475</v>
      </c>
      <c r="E147">
        <v>-9.1844238279999999</v>
      </c>
      <c r="F147">
        <f t="shared" si="14"/>
        <v>5.7763672000000099E-2</v>
      </c>
      <c r="G147">
        <f t="shared" si="12"/>
        <v>3.1622977378487904E-2</v>
      </c>
      <c r="I147">
        <f t="shared" si="15"/>
        <v>1.6984369999999971E-3</v>
      </c>
      <c r="J147">
        <f t="shared" si="16"/>
        <v>3.2854883999998918E-2</v>
      </c>
      <c r="K147">
        <f t="shared" si="17"/>
        <v>2.3491860632488315E-2</v>
      </c>
      <c r="L147">
        <v>2.6140694621512195E-2</v>
      </c>
    </row>
    <row r="148" spans="1:12" x14ac:dyDescent="0.2">
      <c r="A148" s="2">
        <v>44296.916666666664</v>
      </c>
      <c r="B148">
        <v>9.7907554399999999</v>
      </c>
      <c r="C148">
        <f t="shared" si="13"/>
        <v>3.2854884000000695E-2</v>
      </c>
      <c r="D148">
        <v>0.212279948</v>
      </c>
      <c r="E148">
        <v>-9.2421875</v>
      </c>
      <c r="F148">
        <f t="shared" si="14"/>
        <v>-5.7763672000000099E-2</v>
      </c>
      <c r="G148">
        <f t="shared" si="12"/>
        <v>-7.3328998418441094E-2</v>
      </c>
      <c r="I148">
        <f t="shared" si="15"/>
        <v>-1.5270000000011663E-6</v>
      </c>
      <c r="J148">
        <f t="shared" si="16"/>
        <v>3.2854884000000695E-2</v>
      </c>
      <c r="K148">
        <f t="shared" si="17"/>
        <v>6.9595327529170525E-3</v>
      </c>
      <c r="L148">
        <v>1.5565326418440991E-2</v>
      </c>
    </row>
    <row r="149" spans="1:12" x14ac:dyDescent="0.2">
      <c r="A149" s="2">
        <v>44297.916666666664</v>
      </c>
      <c r="B149">
        <v>9.8236103240000006</v>
      </c>
      <c r="C149">
        <f t="shared" si="13"/>
        <v>3.2854884000000695E-2</v>
      </c>
      <c r="D149">
        <v>0.21226451900000001</v>
      </c>
      <c r="E149">
        <v>-9.2710675560000002</v>
      </c>
      <c r="F149">
        <f t="shared" si="14"/>
        <v>-2.8880056000000209E-2</v>
      </c>
      <c r="G149">
        <f t="shared" si="12"/>
        <v>-4.4357619074017723E-2</v>
      </c>
      <c r="I149">
        <f t="shared" si="15"/>
        <v>-1.5428999999983484E-5</v>
      </c>
      <c r="J149">
        <f t="shared" si="16"/>
        <v>3.2854884000000695E-2</v>
      </c>
      <c r="K149">
        <f t="shared" si="17"/>
        <v>6.8228645833774415E-3</v>
      </c>
      <c r="L149">
        <v>1.5477563074017511E-2</v>
      </c>
    </row>
    <row r="150" spans="1:12" x14ac:dyDescent="0.2">
      <c r="A150" s="2">
        <v>44298.916666666664</v>
      </c>
      <c r="B150">
        <v>9.8564652079999995</v>
      </c>
      <c r="C150">
        <f t="shared" si="13"/>
        <v>3.2854883999998918E-2</v>
      </c>
      <c r="D150">
        <v>0.21226825299999999</v>
      </c>
      <c r="E150">
        <v>-9.2710675560000002</v>
      </c>
      <c r="F150">
        <f t="shared" si="14"/>
        <v>0</v>
      </c>
      <c r="G150">
        <f t="shared" si="12"/>
        <v>-1.5598084078381359E-2</v>
      </c>
      <c r="I150">
        <f t="shared" si="15"/>
        <v>3.7339999999774776E-6</v>
      </c>
      <c r="J150">
        <f t="shared" si="16"/>
        <v>3.2854883999998918E-2</v>
      </c>
      <c r="K150">
        <f t="shared" si="17"/>
        <v>7.0107301901471963E-3</v>
      </c>
      <c r="L150">
        <v>1.5598084078381359E-2</v>
      </c>
    </row>
    <row r="151" spans="1:12" x14ac:dyDescent="0.2">
      <c r="A151" s="2">
        <v>44300.916666666664</v>
      </c>
      <c r="B151">
        <v>9.9221749760000009</v>
      </c>
      <c r="C151">
        <f t="shared" si="13"/>
        <v>6.570976800000139E-2</v>
      </c>
      <c r="D151">
        <v>0.21225366500000001</v>
      </c>
      <c r="E151">
        <v>-9.2710675560000002</v>
      </c>
      <c r="F151">
        <f t="shared" si="14"/>
        <v>0</v>
      </c>
      <c r="G151">
        <f t="shared" si="12"/>
        <v>-3.1055815121555495E-2</v>
      </c>
      <c r="I151">
        <f t="shared" si="15"/>
        <v>-1.458799999998206E-5</v>
      </c>
      <c r="J151">
        <f t="shared" si="16"/>
        <v>6.570976800000139E-2</v>
      </c>
      <c r="K151">
        <f t="shared" si="17"/>
        <v>1.3803352969846028E-2</v>
      </c>
      <c r="L151">
        <v>3.1055815121555495E-2</v>
      </c>
    </row>
    <row r="152" spans="1:12" x14ac:dyDescent="0.2">
      <c r="A152" s="2">
        <v>44302.916666666664</v>
      </c>
      <c r="B152">
        <v>9.9878847440000005</v>
      </c>
      <c r="C152">
        <f t="shared" si="13"/>
        <v>6.5709767999999613E-2</v>
      </c>
      <c r="D152">
        <v>0.21224684399999999</v>
      </c>
      <c r="E152">
        <v>-9.2710675560000002</v>
      </c>
      <c r="F152">
        <f t="shared" si="14"/>
        <v>0</v>
      </c>
      <c r="G152">
        <f t="shared" si="12"/>
        <v>-3.1104240998154856E-2</v>
      </c>
      <c r="I152">
        <f t="shared" si="15"/>
        <v>-6.8210000000179516E-6</v>
      </c>
      <c r="J152">
        <f t="shared" si="16"/>
        <v>6.5709767999999613E-2</v>
      </c>
      <c r="K152">
        <f t="shared" si="17"/>
        <v>1.3879011722460532E-2</v>
      </c>
      <c r="L152">
        <v>3.1104240998154856E-2</v>
      </c>
    </row>
    <row r="153" spans="1:12" x14ac:dyDescent="0.2">
      <c r="A153" s="2">
        <v>44304.916666666664</v>
      </c>
      <c r="B153">
        <v>10.05359451</v>
      </c>
      <c r="C153">
        <f t="shared" si="13"/>
        <v>6.5709765999999448E-2</v>
      </c>
      <c r="D153">
        <v>0.21224827800000001</v>
      </c>
      <c r="E153">
        <v>-9.227746582</v>
      </c>
      <c r="F153">
        <f t="shared" si="14"/>
        <v>4.3320974000000234E-2</v>
      </c>
      <c r="G153">
        <f t="shared" si="12"/>
        <v>1.2163799363743982E-2</v>
      </c>
      <c r="I153">
        <f t="shared" si="15"/>
        <v>1.4340000000223618E-6</v>
      </c>
      <c r="J153">
        <f t="shared" si="16"/>
        <v>6.5709765999999448E-2</v>
      </c>
      <c r="K153">
        <f t="shared" si="17"/>
        <v>1.3961107308005705E-2</v>
      </c>
      <c r="L153">
        <v>3.1157174636256252E-2</v>
      </c>
    </row>
    <row r="154" spans="1:12" x14ac:dyDescent="0.2">
      <c r="A154" s="2">
        <v>44305.916666666664</v>
      </c>
      <c r="B154">
        <v>10.086449399999999</v>
      </c>
      <c r="C154">
        <f t="shared" si="13"/>
        <v>3.2854889999999415E-2</v>
      </c>
      <c r="D154">
        <v>0.212251421</v>
      </c>
      <c r="E154">
        <v>-9.227746582</v>
      </c>
      <c r="F154">
        <f t="shared" si="14"/>
        <v>0</v>
      </c>
      <c r="G154">
        <f t="shared" si="12"/>
        <v>-1.5594507540115779E-2</v>
      </c>
      <c r="I154">
        <f t="shared" si="15"/>
        <v>3.1429999999832425E-6</v>
      </c>
      <c r="J154">
        <f t="shared" si="16"/>
        <v>3.2854889999999415E-2</v>
      </c>
      <c r="K154">
        <f t="shared" si="17"/>
        <v>7.0050955368432533E-3</v>
      </c>
      <c r="L154">
        <v>1.5594507540115779E-2</v>
      </c>
    </row>
    <row r="155" spans="1:12" x14ac:dyDescent="0.2">
      <c r="A155" s="2">
        <v>44306.916666666664</v>
      </c>
      <c r="B155">
        <v>10.11930428</v>
      </c>
      <c r="C155">
        <f t="shared" si="13"/>
        <v>3.2854880000000364E-2</v>
      </c>
      <c r="D155">
        <v>0.2122472</v>
      </c>
      <c r="E155">
        <v>-9.256628418</v>
      </c>
      <c r="F155">
        <f t="shared" si="14"/>
        <v>-2.888183600000005E-2</v>
      </c>
      <c r="G155">
        <f t="shared" si="12"/>
        <v>-4.4428179807491468E-2</v>
      </c>
      <c r="I155">
        <f t="shared" si="15"/>
        <v>-4.220999999998698E-6</v>
      </c>
      <c r="J155">
        <f t="shared" si="16"/>
        <v>3.2854880000000364E-2</v>
      </c>
      <c r="K155">
        <f t="shared" si="17"/>
        <v>6.9307813834189602E-3</v>
      </c>
      <c r="L155">
        <v>1.5546343807491418E-2</v>
      </c>
    </row>
    <row r="156" spans="1:12" x14ac:dyDescent="0.2">
      <c r="A156" s="2">
        <v>44307.916666666664</v>
      </c>
      <c r="B156">
        <v>10.15215916</v>
      </c>
      <c r="C156">
        <f t="shared" si="13"/>
        <v>3.2854880000000364E-2</v>
      </c>
      <c r="D156">
        <v>0.21225397900000001</v>
      </c>
      <c r="E156">
        <v>-9.2710675560000002</v>
      </c>
      <c r="F156">
        <f t="shared" si="14"/>
        <v>-1.4439138000000185E-2</v>
      </c>
      <c r="G156">
        <f t="shared" si="12"/>
        <v>-3.0057761294579911E-2</v>
      </c>
      <c r="I156">
        <f t="shared" si="15"/>
        <v>6.779000000012303E-6</v>
      </c>
      <c r="J156">
        <f t="shared" si="16"/>
        <v>3.2854880000000364E-2</v>
      </c>
      <c r="K156">
        <f t="shared" si="17"/>
        <v>7.0421777732816437E-3</v>
      </c>
      <c r="L156">
        <v>1.5618623294579727E-2</v>
      </c>
    </row>
    <row r="157" spans="1:12" x14ac:dyDescent="0.2">
      <c r="A157" s="2">
        <v>44308.916666666664</v>
      </c>
      <c r="B157">
        <v>10.513562889999999</v>
      </c>
      <c r="C157">
        <f t="shared" si="13"/>
        <v>0.36140372999999926</v>
      </c>
      <c r="D157">
        <v>0.212258323</v>
      </c>
      <c r="E157">
        <v>-9.2932825720000007</v>
      </c>
      <c r="F157">
        <f t="shared" si="14"/>
        <v>-2.2215016000000531E-2</v>
      </c>
      <c r="G157">
        <f t="shared" si="12"/>
        <v>-0.19356041574645128</v>
      </c>
      <c r="I157">
        <f t="shared" si="15"/>
        <v>4.3439999999894674E-6</v>
      </c>
      <c r="J157">
        <f t="shared" si="16"/>
        <v>0.36140372999999926</v>
      </c>
      <c r="K157">
        <f t="shared" si="17"/>
        <v>7.6755050635135547E-2</v>
      </c>
      <c r="L157">
        <v>0.17134539974645074</v>
      </c>
    </row>
    <row r="158" spans="1:12" x14ac:dyDescent="0.2">
      <c r="A158" s="2">
        <v>44310.916666666664</v>
      </c>
      <c r="B158">
        <v>10.579272660000001</v>
      </c>
      <c r="C158">
        <f t="shared" si="13"/>
        <v>6.5709770000001555E-2</v>
      </c>
      <c r="D158">
        <v>0.21225427399999999</v>
      </c>
      <c r="E158">
        <v>-7.2695602419999998</v>
      </c>
      <c r="F158">
        <f t="shared" si="14"/>
        <v>2.0237223300000009</v>
      </c>
      <c r="G158">
        <f t="shared" si="12"/>
        <v>1.9926020279421439</v>
      </c>
      <c r="I158">
        <f t="shared" si="15"/>
        <v>-4.0490000000059645E-6</v>
      </c>
      <c r="J158">
        <f t="shared" si="16"/>
        <v>6.5709770000001555E-2</v>
      </c>
      <c r="K158">
        <f t="shared" si="17"/>
        <v>1.3904610109915616E-2</v>
      </c>
      <c r="L158">
        <v>3.1120302057857038E-2</v>
      </c>
    </row>
    <row r="159" spans="1:12" x14ac:dyDescent="0.2">
      <c r="A159" s="2">
        <v>44312.916666666664</v>
      </c>
      <c r="B159">
        <v>10.644982430000001</v>
      </c>
      <c r="C159">
        <f t="shared" si="13"/>
        <v>6.5709769999999779E-2</v>
      </c>
      <c r="D159">
        <v>0.21224654200000001</v>
      </c>
      <c r="E159">
        <v>-7.0962692260000004</v>
      </c>
      <c r="F159">
        <f t="shared" si="14"/>
        <v>0.17329101599999941</v>
      </c>
      <c r="G159">
        <f t="shared" si="12"/>
        <v>0.14219703924814889</v>
      </c>
      <c r="I159">
        <f t="shared" si="15"/>
        <v>-7.7319999999825306E-6</v>
      </c>
      <c r="J159">
        <f t="shared" si="16"/>
        <v>6.5709769999999779E-2</v>
      </c>
      <c r="K159">
        <f t="shared" si="17"/>
        <v>1.3864872521908378E-2</v>
      </c>
      <c r="L159">
        <v>3.1093976751850515E-2</v>
      </c>
    </row>
    <row r="160" spans="1:12" x14ac:dyDescent="0.2">
      <c r="A160" s="2">
        <v>44313.916666666664</v>
      </c>
      <c r="B160">
        <v>10.677837309999999</v>
      </c>
      <c r="C160">
        <f t="shared" si="13"/>
        <v>3.2854879999998587E-2</v>
      </c>
      <c r="D160">
        <v>0.21226227</v>
      </c>
      <c r="E160">
        <v>-7.0962692260000004</v>
      </c>
      <c r="F160">
        <f t="shared" si="14"/>
        <v>0</v>
      </c>
      <c r="G160">
        <f t="shared" si="12"/>
        <v>-1.5684803346771335E-2</v>
      </c>
      <c r="I160">
        <f t="shared" si="15"/>
        <v>1.5727999999992637E-5</v>
      </c>
      <c r="J160">
        <f t="shared" si="16"/>
        <v>3.2854879999998587E-2</v>
      </c>
      <c r="K160">
        <f t="shared" si="17"/>
        <v>7.141275693036242E-3</v>
      </c>
      <c r="L160">
        <v>1.5684803346771335E-2</v>
      </c>
    </row>
    <row r="161" spans="1:12" x14ac:dyDescent="0.2">
      <c r="A161" s="2">
        <v>44314.916666666664</v>
      </c>
      <c r="B161">
        <v>10.71069219</v>
      </c>
      <c r="C161">
        <f t="shared" si="13"/>
        <v>3.2854880000000364E-2</v>
      </c>
      <c r="D161">
        <v>0.21226376499999999</v>
      </c>
      <c r="E161">
        <v>-7.0962692260000004</v>
      </c>
      <c r="F161">
        <f t="shared" si="14"/>
        <v>0</v>
      </c>
      <c r="G161">
        <f t="shared" si="12"/>
        <v>-1.5584945125446902E-2</v>
      </c>
      <c r="I161">
        <f t="shared" si="15"/>
        <v>1.4949999999902541E-6</v>
      </c>
      <c r="J161">
        <f t="shared" si="16"/>
        <v>3.2854880000000364E-2</v>
      </c>
      <c r="K161">
        <f t="shared" si="17"/>
        <v>6.9898638942018643E-3</v>
      </c>
      <c r="L161">
        <v>1.5584945125446902E-2</v>
      </c>
    </row>
    <row r="162" spans="1:12" x14ac:dyDescent="0.2">
      <c r="A162" s="2">
        <v>44317.916666666664</v>
      </c>
      <c r="B162">
        <v>10.809256850000001</v>
      </c>
      <c r="C162">
        <f t="shared" si="13"/>
        <v>9.856466000000097E-2</v>
      </c>
      <c r="D162">
        <v>0.212253832</v>
      </c>
      <c r="E162">
        <v>-7.0673873900000004</v>
      </c>
      <c r="F162">
        <f t="shared" si="14"/>
        <v>2.888183600000005E-2</v>
      </c>
      <c r="G162">
        <f t="shared" si="12"/>
        <v>-1.7770216775545342E-2</v>
      </c>
      <c r="I162">
        <f t="shared" si="15"/>
        <v>-9.9329999999897556E-6</v>
      </c>
      <c r="J162">
        <f t="shared" si="16"/>
        <v>9.856466000000097E-2</v>
      </c>
      <c r="K162">
        <f t="shared" si="17"/>
        <v>2.0814337479253986E-2</v>
      </c>
      <c r="L162">
        <v>4.6652052775545391E-2</v>
      </c>
    </row>
    <row r="163" spans="1:12" x14ac:dyDescent="0.2">
      <c r="A163" s="2">
        <v>44318.916666666664</v>
      </c>
      <c r="B163">
        <v>10.842111729999999</v>
      </c>
      <c r="C163">
        <f t="shared" si="13"/>
        <v>3.2854879999998587E-2</v>
      </c>
      <c r="D163">
        <v>0.21224652599999999</v>
      </c>
      <c r="E163">
        <v>-7.0673873900000004</v>
      </c>
      <c r="F163">
        <f t="shared" si="14"/>
        <v>0</v>
      </c>
      <c r="G163">
        <f t="shared" si="12"/>
        <v>-1.5521563604075823E-2</v>
      </c>
      <c r="I163">
        <f t="shared" si="15"/>
        <v>-7.3060000000124692E-6</v>
      </c>
      <c r="J163">
        <f t="shared" si="16"/>
        <v>3.2854879999998587E-2</v>
      </c>
      <c r="K163">
        <f t="shared" si="17"/>
        <v>6.8943617116006273E-3</v>
      </c>
      <c r="L163">
        <v>1.5521563604075823E-2</v>
      </c>
    </row>
    <row r="164" spans="1:12" x14ac:dyDescent="0.2">
      <c r="A164" s="2">
        <v>44319.916666666664</v>
      </c>
      <c r="B164">
        <v>10.87496661</v>
      </c>
      <c r="C164">
        <f t="shared" si="13"/>
        <v>3.2854880000000364E-2</v>
      </c>
      <c r="D164">
        <v>0.21224404699999999</v>
      </c>
      <c r="E164">
        <v>-7.0673873900000004</v>
      </c>
      <c r="F164">
        <f t="shared" si="14"/>
        <v>0</v>
      </c>
      <c r="G164">
        <f t="shared" si="12"/>
        <v>-1.555600733659588E-2</v>
      </c>
      <c r="I164">
        <f t="shared" si="15"/>
        <v>-2.4789999999996759E-6</v>
      </c>
      <c r="J164">
        <f t="shared" si="16"/>
        <v>3.2854880000000364E-2</v>
      </c>
      <c r="K164">
        <f t="shared" si="17"/>
        <v>6.9463750999205764E-3</v>
      </c>
      <c r="L164">
        <v>1.555600733659588E-2</v>
      </c>
    </row>
    <row r="165" spans="1:12" x14ac:dyDescent="0.2">
      <c r="A165" s="2">
        <v>44320.916666666664</v>
      </c>
      <c r="B165">
        <v>10.907821500000001</v>
      </c>
      <c r="C165">
        <f t="shared" si="13"/>
        <v>3.2854890000001191E-2</v>
      </c>
      <c r="D165">
        <v>0.21224953399999999</v>
      </c>
      <c r="E165">
        <v>-7.0385055540000003</v>
      </c>
      <c r="F165">
        <f t="shared" si="14"/>
        <v>2.888183600000005E-2</v>
      </c>
      <c r="G165">
        <f t="shared" si="12"/>
        <v>1.326820544283314E-2</v>
      </c>
      <c r="I165">
        <f t="shared" si="15"/>
        <v>5.4869999999984653E-6</v>
      </c>
      <c r="J165">
        <f t="shared" si="16"/>
        <v>3.2854890000001191E-2</v>
      </c>
      <c r="K165">
        <f t="shared" si="17"/>
        <v>7.0331060339103857E-3</v>
      </c>
      <c r="L165">
        <v>1.561363055716691E-2</v>
      </c>
    </row>
    <row r="166" spans="1:12" x14ac:dyDescent="0.2">
      <c r="A166" s="2">
        <v>44321.916666666664</v>
      </c>
      <c r="B166">
        <v>10.940676379999999</v>
      </c>
      <c r="C166">
        <f t="shared" si="13"/>
        <v>3.2854879999998587E-2</v>
      </c>
      <c r="D166">
        <v>0.212248936</v>
      </c>
      <c r="E166">
        <v>-7.0673873900000004</v>
      </c>
      <c r="F166">
        <f t="shared" si="14"/>
        <v>-2.888183600000005E-2</v>
      </c>
      <c r="G166">
        <f t="shared" si="12"/>
        <v>-4.4451480225326259E-2</v>
      </c>
      <c r="I166">
        <f t="shared" si="15"/>
        <v>-5.9799999999055053E-7</v>
      </c>
      <c r="J166">
        <f t="shared" si="16"/>
        <v>3.2854879999998587E-2</v>
      </c>
      <c r="K166">
        <f t="shared" si="17"/>
        <v>6.966890445150753E-3</v>
      </c>
      <c r="L166">
        <v>1.5569644225326206E-2</v>
      </c>
    </row>
    <row r="167" spans="1:12" x14ac:dyDescent="0.2">
      <c r="A167" s="2">
        <v>44322.916666666664</v>
      </c>
      <c r="B167">
        <v>10.973531270000001</v>
      </c>
      <c r="C167">
        <f t="shared" si="13"/>
        <v>3.2854890000001191E-2</v>
      </c>
      <c r="D167">
        <v>0.21225095299999999</v>
      </c>
      <c r="E167">
        <v>-7.0673873900000004</v>
      </c>
      <c r="F167">
        <f t="shared" si="14"/>
        <v>0</v>
      </c>
      <c r="G167">
        <f t="shared" si="12"/>
        <v>-1.5588725371915147E-2</v>
      </c>
      <c r="I167">
        <f t="shared" si="15"/>
        <v>2.0169999999930521E-6</v>
      </c>
      <c r="J167">
        <f t="shared" si="16"/>
        <v>3.2854890000001191E-2</v>
      </c>
      <c r="K167">
        <f t="shared" si="17"/>
        <v>6.9955490574686863E-3</v>
      </c>
      <c r="L167">
        <v>1.5588725371915147E-2</v>
      </c>
    </row>
    <row r="168" spans="1:12" x14ac:dyDescent="0.2">
      <c r="A168" s="2">
        <v>44323.916666666664</v>
      </c>
      <c r="B168">
        <v>11.006386150000001</v>
      </c>
      <c r="C168">
        <f t="shared" si="13"/>
        <v>3.2854880000000364E-2</v>
      </c>
      <c r="D168">
        <v>0.212244714</v>
      </c>
      <c r="E168">
        <v>-7.0385055540000003</v>
      </c>
      <c r="F168">
        <f t="shared" si="14"/>
        <v>2.888183600000005E-2</v>
      </c>
      <c r="G168">
        <f t="shared" si="12"/>
        <v>1.335357165424951E-2</v>
      </c>
      <c r="I168">
        <f t="shared" si="15"/>
        <v>-6.2389999999912238E-6</v>
      </c>
      <c r="J168">
        <f t="shared" si="16"/>
        <v>3.2854880000000364E-2</v>
      </c>
      <c r="K168">
        <f t="shared" si="17"/>
        <v>6.9048107475109255E-3</v>
      </c>
      <c r="L168">
        <v>1.5528264345750539E-2</v>
      </c>
    </row>
    <row r="169" spans="1:12" x14ac:dyDescent="0.2">
      <c r="A169" s="2">
        <v>44324.916666666664</v>
      </c>
      <c r="B169">
        <v>11.039241029999999</v>
      </c>
      <c r="C169">
        <f t="shared" si="13"/>
        <v>3.2854879999998587E-2</v>
      </c>
      <c r="D169">
        <v>0.21224051599999999</v>
      </c>
      <c r="E169">
        <v>-7.0529464720000004</v>
      </c>
      <c r="F169">
        <f t="shared" si="14"/>
        <v>-1.4440918000000025E-2</v>
      </c>
      <c r="G169">
        <f t="shared" si="12"/>
        <v>-2.9983857920828284E-2</v>
      </c>
      <c r="I169">
        <f t="shared" si="15"/>
        <v>-4.1980000000108042E-6</v>
      </c>
      <c r="J169">
        <f t="shared" si="16"/>
        <v>3.2854879999998587E-2</v>
      </c>
      <c r="K169">
        <f t="shared" si="17"/>
        <v>6.9269318752600562E-3</v>
      </c>
      <c r="L169">
        <v>1.5542939920828261E-2</v>
      </c>
    </row>
    <row r="170" spans="1:12" x14ac:dyDescent="0.2">
      <c r="A170" s="2">
        <v>44325.916666666664</v>
      </c>
      <c r="B170">
        <v>11.072095920000001</v>
      </c>
      <c r="C170">
        <f t="shared" si="13"/>
        <v>3.2854890000001191E-2</v>
      </c>
      <c r="D170">
        <v>0.21224548900000001</v>
      </c>
      <c r="E170">
        <v>-7.0962692260000004</v>
      </c>
      <c r="F170">
        <f t="shared" si="14"/>
        <v>-4.3322754000000074E-2</v>
      </c>
      <c r="G170">
        <f t="shared" si="12"/>
        <v>-5.8933267989438209E-2</v>
      </c>
      <c r="I170">
        <f t="shared" si="15"/>
        <v>4.9730000000192121E-6</v>
      </c>
      <c r="J170">
        <f t="shared" si="16"/>
        <v>3.2854890000001191E-2</v>
      </c>
      <c r="K170">
        <f t="shared" si="17"/>
        <v>7.0282003397337256E-3</v>
      </c>
      <c r="L170">
        <v>1.5610513989438139E-2</v>
      </c>
    </row>
    <row r="171" spans="1:12" x14ac:dyDescent="0.2">
      <c r="A171" s="2">
        <v>44326.916666666664</v>
      </c>
      <c r="B171">
        <v>11.104950799999999</v>
      </c>
      <c r="C171">
        <f t="shared" si="13"/>
        <v>3.2854879999998587E-2</v>
      </c>
      <c r="D171">
        <v>0.21224669400000001</v>
      </c>
      <c r="E171">
        <v>-7.5468287150000002</v>
      </c>
      <c r="F171">
        <f t="shared" si="14"/>
        <v>-0.45055948899999976</v>
      </c>
      <c r="G171">
        <f t="shared" si="12"/>
        <v>-0.46614231475423867</v>
      </c>
      <c r="I171">
        <f t="shared" si="15"/>
        <v>1.2050000000041194E-6</v>
      </c>
      <c r="J171">
        <f t="shared" si="16"/>
        <v>3.2854879999998587E-2</v>
      </c>
      <c r="K171">
        <f t="shared" si="17"/>
        <v>6.9866815373500479E-3</v>
      </c>
      <c r="L171">
        <v>1.5582825754238926E-2</v>
      </c>
    </row>
    <row r="172" spans="1:12" x14ac:dyDescent="0.2">
      <c r="A172" s="2">
        <v>44327.916666666664</v>
      </c>
      <c r="B172">
        <v>11.13780569</v>
      </c>
      <c r="C172">
        <f t="shared" si="13"/>
        <v>3.2854890000001191E-2</v>
      </c>
      <c r="D172">
        <v>0.212248995</v>
      </c>
      <c r="E172">
        <v>-7.2291285199999997</v>
      </c>
      <c r="F172">
        <f t="shared" si="14"/>
        <v>0.31770019500000046</v>
      </c>
      <c r="G172">
        <f t="shared" si="12"/>
        <v>0.30210912911631566</v>
      </c>
      <c r="I172">
        <f t="shared" si="15"/>
        <v>2.3009999999823449E-6</v>
      </c>
      <c r="J172">
        <f t="shared" si="16"/>
        <v>3.2854890000001191E-2</v>
      </c>
      <c r="K172">
        <f t="shared" si="17"/>
        <v>6.9989698751267149E-3</v>
      </c>
      <c r="L172">
        <v>1.5591065883684781E-2</v>
      </c>
    </row>
    <row r="173" spans="1:12" x14ac:dyDescent="0.2">
      <c r="A173" s="2">
        <v>44328.916666666664</v>
      </c>
      <c r="B173">
        <v>11.170660570000001</v>
      </c>
      <c r="C173">
        <f t="shared" si="13"/>
        <v>3.2854880000000364E-2</v>
      </c>
      <c r="D173">
        <v>0.20567702400000001</v>
      </c>
      <c r="E173">
        <v>-7.1424830119999996</v>
      </c>
      <c r="F173">
        <f t="shared" si="14"/>
        <v>8.6645508000000149E-2</v>
      </c>
      <c r="G173">
        <f t="shared" si="12"/>
        <v>0.12022816161833558</v>
      </c>
      <c r="I173">
        <f t="shared" si="15"/>
        <v>-6.571970999999982E-3</v>
      </c>
      <c r="J173">
        <f t="shared" si="16"/>
        <v>3.2854880000000364E-2</v>
      </c>
      <c r="K173">
        <f t="shared" si="17"/>
        <v>-6.6439842056037701E-2</v>
      </c>
      <c r="L173">
        <v>-3.3582653618335435E-2</v>
      </c>
    </row>
    <row r="174" spans="1:12" x14ac:dyDescent="0.2">
      <c r="A174" s="2">
        <v>44330.916666666664</v>
      </c>
      <c r="B174">
        <v>11.236370340000001</v>
      </c>
      <c r="C174">
        <f t="shared" si="13"/>
        <v>6.5709769999999779E-2</v>
      </c>
      <c r="D174">
        <v>0.20557735399999999</v>
      </c>
      <c r="E174">
        <v>-7.1424830119999996</v>
      </c>
      <c r="F174">
        <f t="shared" si="14"/>
        <v>0</v>
      </c>
      <c r="G174">
        <f t="shared" si="12"/>
        <v>-3.002070702626778E-2</v>
      </c>
      <c r="I174">
        <f t="shared" si="15"/>
        <v>-9.9670000000023906E-5</v>
      </c>
      <c r="J174">
        <f t="shared" si="16"/>
        <v>6.5709769999999779E-2</v>
      </c>
      <c r="K174">
        <f t="shared" si="17"/>
        <v>1.2395060909536237E-2</v>
      </c>
      <c r="L174">
        <v>3.002070702626778E-2</v>
      </c>
    </row>
    <row r="175" spans="1:12" x14ac:dyDescent="0.2">
      <c r="A175" s="2">
        <v>44333.916666666664</v>
      </c>
      <c r="B175">
        <v>11.334934990000001</v>
      </c>
      <c r="C175">
        <f t="shared" si="13"/>
        <v>9.8564650000000142E-2</v>
      </c>
      <c r="D175">
        <v>0.20557761499999999</v>
      </c>
      <c r="E175">
        <v>-7.1136011760000004</v>
      </c>
      <c r="F175">
        <f t="shared" si="14"/>
        <v>2.8881835999999161E-2</v>
      </c>
      <c r="G175">
        <f t="shared" si="12"/>
        <v>-1.7269470302489764E-2</v>
      </c>
      <c r="I175">
        <f t="shared" si="15"/>
        <v>2.61000000001399E-7</v>
      </c>
      <c r="J175">
        <f t="shared" si="16"/>
        <v>9.8564650000000142E-2</v>
      </c>
      <c r="K175">
        <f t="shared" si="17"/>
        <v>2.0265618362968585E-2</v>
      </c>
      <c r="L175">
        <v>4.6151306302488926E-2</v>
      </c>
    </row>
    <row r="176" spans="1:12" x14ac:dyDescent="0.2">
      <c r="A176" s="2">
        <v>44334.916666666664</v>
      </c>
      <c r="B176">
        <v>11.367789869999999</v>
      </c>
      <c r="C176">
        <f t="shared" si="13"/>
        <v>3.2854879999998587E-2</v>
      </c>
      <c r="D176">
        <v>0.20557667600000001</v>
      </c>
      <c r="E176">
        <v>-7.0847193400000004</v>
      </c>
      <c r="F176">
        <f t="shared" si="14"/>
        <v>2.888183600000005E-2</v>
      </c>
      <c r="G176">
        <f t="shared" si="12"/>
        <v>1.3505909175499656E-2</v>
      </c>
      <c r="I176">
        <f t="shared" si="15"/>
        <v>-9.3899999997759664E-7</v>
      </c>
      <c r="J176">
        <f t="shared" si="16"/>
        <v>3.2854879999998587E-2</v>
      </c>
      <c r="K176">
        <f t="shared" si="17"/>
        <v>6.7435535168232086E-3</v>
      </c>
      <c r="L176">
        <v>1.5375926824500393E-2</v>
      </c>
    </row>
    <row r="177" spans="1:12" x14ac:dyDescent="0.2">
      <c r="A177" s="2">
        <v>44335.916666666664</v>
      </c>
      <c r="B177">
        <v>11.40064476</v>
      </c>
      <c r="C177">
        <f t="shared" si="13"/>
        <v>3.2854890000001191E-2</v>
      </c>
      <c r="D177">
        <v>0.20557592799999999</v>
      </c>
      <c r="E177">
        <v>-7.0847193400000004</v>
      </c>
      <c r="F177">
        <f t="shared" si="14"/>
        <v>0</v>
      </c>
      <c r="G177">
        <f t="shared" si="12"/>
        <v>-1.5377344658810353E-2</v>
      </c>
      <c r="I177">
        <f t="shared" si="15"/>
        <v>-7.4800000002261946E-7</v>
      </c>
      <c r="J177">
        <f t="shared" si="16"/>
        <v>3.2854890000001191E-2</v>
      </c>
      <c r="K177">
        <f t="shared" si="17"/>
        <v>6.7456713942650737E-3</v>
      </c>
      <c r="L177">
        <v>1.5377344658810353E-2</v>
      </c>
    </row>
    <row r="178" spans="1:12" x14ac:dyDescent="0.2">
      <c r="A178" s="2">
        <v>44336.916666666664</v>
      </c>
      <c r="B178">
        <v>11.433499640000001</v>
      </c>
      <c r="C178">
        <f t="shared" si="13"/>
        <v>3.2854880000000364E-2</v>
      </c>
      <c r="D178">
        <v>0.205566627</v>
      </c>
      <c r="E178">
        <v>-7.0702784220000003</v>
      </c>
      <c r="F178">
        <f t="shared" si="14"/>
        <v>1.4440918000000025E-2</v>
      </c>
      <c r="G178">
        <f t="shared" si="12"/>
        <v>-8.7044732389075959E-4</v>
      </c>
      <c r="I178">
        <f t="shared" si="15"/>
        <v>-9.3009999999893456E-6</v>
      </c>
      <c r="J178">
        <f t="shared" si="16"/>
        <v>3.2854880000000364E-2</v>
      </c>
      <c r="K178">
        <f t="shared" si="17"/>
        <v>6.6478294651775016E-3</v>
      </c>
      <c r="L178">
        <v>1.5311365323890784E-2</v>
      </c>
    </row>
    <row r="179" spans="1:12" x14ac:dyDescent="0.2">
      <c r="A179" s="2">
        <v>44337.916666666664</v>
      </c>
      <c r="B179">
        <v>11.46635453</v>
      </c>
      <c r="C179">
        <f t="shared" si="13"/>
        <v>3.2854889999999415E-2</v>
      </c>
      <c r="D179">
        <v>0.205571106</v>
      </c>
      <c r="E179">
        <v>-7.0847193400000004</v>
      </c>
      <c r="F179">
        <f t="shared" si="14"/>
        <v>-1.4440918000000025E-2</v>
      </c>
      <c r="G179">
        <f t="shared" si="12"/>
        <v>-2.9858374870582169E-2</v>
      </c>
      <c r="I179">
        <f t="shared" si="15"/>
        <v>4.4790000000016761E-6</v>
      </c>
      <c r="J179">
        <f t="shared" si="16"/>
        <v>3.2854889999999415E-2</v>
      </c>
      <c r="K179">
        <f t="shared" si="17"/>
        <v>6.8052267196954119E-3</v>
      </c>
      <c r="L179">
        <v>1.5417456870582146E-2</v>
      </c>
    </row>
    <row r="180" spans="1:12" x14ac:dyDescent="0.2">
      <c r="A180" s="2">
        <v>44338.916666666664</v>
      </c>
      <c r="B180">
        <v>11.499209410000001</v>
      </c>
      <c r="C180">
        <f t="shared" si="13"/>
        <v>3.2854880000000364E-2</v>
      </c>
      <c r="D180">
        <v>0.205575009</v>
      </c>
      <c r="E180">
        <v>-7.0558375040000003</v>
      </c>
      <c r="F180">
        <f t="shared" si="14"/>
        <v>2.888183600000005E-2</v>
      </c>
      <c r="G180">
        <f t="shared" si="12"/>
        <v>1.3468600645963594E-2</v>
      </c>
      <c r="I180">
        <f t="shared" si="15"/>
        <v>3.9029999999995457E-6</v>
      </c>
      <c r="J180">
        <f t="shared" si="16"/>
        <v>3.2854880000000364E-2</v>
      </c>
      <c r="K180">
        <f t="shared" si="17"/>
        <v>6.798895433424601E-3</v>
      </c>
      <c r="L180">
        <v>1.5413235354036455E-2</v>
      </c>
    </row>
    <row r="181" spans="1:12" x14ac:dyDescent="0.2">
      <c r="A181" s="2">
        <v>44339.916666666664</v>
      </c>
      <c r="B181">
        <v>11.532064289999999</v>
      </c>
      <c r="C181">
        <f t="shared" si="13"/>
        <v>3.2854879999998587E-2</v>
      </c>
      <c r="D181">
        <v>0.205569326</v>
      </c>
      <c r="E181">
        <v>-7.0558375040000003</v>
      </c>
      <c r="F181">
        <f t="shared" si="14"/>
        <v>0</v>
      </c>
      <c r="G181">
        <f t="shared" si="12"/>
        <v>-1.5338741050969735E-2</v>
      </c>
      <c r="I181">
        <f t="shared" si="15"/>
        <v>-5.6830000000063219E-6</v>
      </c>
      <c r="J181">
        <f t="shared" si="16"/>
        <v>3.2854879999998587E-2</v>
      </c>
      <c r="K181">
        <f t="shared" si="17"/>
        <v>6.688605530333902E-3</v>
      </c>
      <c r="L181">
        <v>1.5338741050969735E-2</v>
      </c>
    </row>
    <row r="182" spans="1:12" x14ac:dyDescent="0.2">
      <c r="A182" s="2">
        <v>44340.916666666664</v>
      </c>
      <c r="B182">
        <v>11.56491918</v>
      </c>
      <c r="C182">
        <f t="shared" si="13"/>
        <v>3.2854890000001191E-2</v>
      </c>
      <c r="D182">
        <v>0.205570645</v>
      </c>
      <c r="E182">
        <v>-7.0269556680000003</v>
      </c>
      <c r="F182">
        <f t="shared" si="14"/>
        <v>2.888183600000005E-2</v>
      </c>
      <c r="G182">
        <f t="shared" si="12"/>
        <v>1.3488638356054759E-2</v>
      </c>
      <c r="I182">
        <f t="shared" si="15"/>
        <v>1.318999999999626E-6</v>
      </c>
      <c r="J182">
        <f t="shared" si="16"/>
        <v>3.2854890000001191E-2</v>
      </c>
      <c r="K182">
        <f t="shared" si="17"/>
        <v>6.7692117215027992E-3</v>
      </c>
      <c r="L182">
        <v>1.539319764394529E-2</v>
      </c>
    </row>
    <row r="183" spans="1:12" x14ac:dyDescent="0.2">
      <c r="A183" s="2">
        <v>44341.916666666664</v>
      </c>
      <c r="B183">
        <v>11.597774060000001</v>
      </c>
      <c r="C183">
        <f t="shared" si="13"/>
        <v>3.2854880000000364E-2</v>
      </c>
      <c r="D183">
        <v>0.20557713999999999</v>
      </c>
      <c r="E183">
        <v>-7.0269556680000003</v>
      </c>
      <c r="F183">
        <f t="shared" si="14"/>
        <v>0</v>
      </c>
      <c r="G183">
        <f t="shared" si="12"/>
        <v>-1.543390870374596E-2</v>
      </c>
      <c r="I183">
        <f t="shared" si="15"/>
        <v>6.4949999999952546E-6</v>
      </c>
      <c r="J183">
        <f t="shared" si="16"/>
        <v>3.2854880000000364E-2</v>
      </c>
      <c r="K183">
        <f t="shared" si="17"/>
        <v>6.8293264155170341E-3</v>
      </c>
      <c r="L183">
        <v>1.543390870374596E-2</v>
      </c>
    </row>
    <row r="184" spans="1:12" x14ac:dyDescent="0.2">
      <c r="A184" s="2">
        <v>44342.916666666664</v>
      </c>
      <c r="B184">
        <v>11.63062895</v>
      </c>
      <c r="C184">
        <f t="shared" si="13"/>
        <v>3.2854889999999415E-2</v>
      </c>
      <c r="D184">
        <v>0.205575533</v>
      </c>
      <c r="E184">
        <v>-7.0269556680000003</v>
      </c>
      <c r="F184">
        <f t="shared" si="14"/>
        <v>0</v>
      </c>
      <c r="G184">
        <f t="shared" si="12"/>
        <v>-1.5370438965482756E-2</v>
      </c>
      <c r="I184">
        <f t="shared" si="15"/>
        <v>-1.6069999999868134E-6</v>
      </c>
      <c r="J184">
        <f t="shared" si="16"/>
        <v>3.2854889999999415E-2</v>
      </c>
      <c r="K184">
        <f t="shared" si="17"/>
        <v>6.7355239004922574E-3</v>
      </c>
      <c r="L184">
        <v>1.5370438965482756E-2</v>
      </c>
    </row>
    <row r="185" spans="1:12" x14ac:dyDescent="0.2">
      <c r="A185" s="2">
        <v>44345.916666666664</v>
      </c>
      <c r="B185">
        <v>11.7291936</v>
      </c>
      <c r="C185">
        <f t="shared" si="13"/>
        <v>9.8564650000000142E-2</v>
      </c>
      <c r="D185">
        <v>0.205579713</v>
      </c>
      <c r="E185">
        <v>-7.0558375040000003</v>
      </c>
      <c r="F185">
        <f t="shared" si="14"/>
        <v>-2.888183600000005E-2</v>
      </c>
      <c r="G185">
        <f t="shared" si="12"/>
        <v>-7.5064294820317984E-2</v>
      </c>
      <c r="I185">
        <f t="shared" si="15"/>
        <v>4.179999999992523E-6</v>
      </c>
      <c r="J185">
        <f t="shared" si="16"/>
        <v>9.8564650000000142E-2</v>
      </c>
      <c r="K185">
        <f t="shared" si="17"/>
        <v>2.0311508487956154E-2</v>
      </c>
      <c r="L185">
        <v>4.6182458820317934E-2</v>
      </c>
    </row>
    <row r="186" spans="1:12" x14ac:dyDescent="0.2">
      <c r="A186" s="2">
        <v>44346.916666666664</v>
      </c>
      <c r="B186">
        <v>11.762048480000001</v>
      </c>
      <c r="C186">
        <f t="shared" si="13"/>
        <v>3.2854880000000364E-2</v>
      </c>
      <c r="D186">
        <v>0.20557742200000001</v>
      </c>
      <c r="E186">
        <v>-7.0269556680000003</v>
      </c>
      <c r="F186">
        <f t="shared" si="14"/>
        <v>2.888183600000005E-2</v>
      </c>
      <c r="G186">
        <f t="shared" si="12"/>
        <v>1.3516980402320269E-2</v>
      </c>
      <c r="I186">
        <f t="shared" si="15"/>
        <v>-2.2909999999876085E-6</v>
      </c>
      <c r="J186">
        <f t="shared" si="16"/>
        <v>3.2854880000000364E-2</v>
      </c>
      <c r="K186">
        <f t="shared" si="17"/>
        <v>6.7273499479818533E-3</v>
      </c>
      <c r="L186">
        <v>1.5364855597679781E-2</v>
      </c>
    </row>
    <row r="187" spans="1:12" x14ac:dyDescent="0.2">
      <c r="A187" s="2">
        <v>44347.916666666664</v>
      </c>
      <c r="B187">
        <v>11.79490337</v>
      </c>
      <c r="C187">
        <f t="shared" si="13"/>
        <v>3.2854889999999415E-2</v>
      </c>
      <c r="D187">
        <v>0.205582037</v>
      </c>
      <c r="E187">
        <v>-7.0269556680000003</v>
      </c>
      <c r="F187">
        <f t="shared" si="14"/>
        <v>0</v>
      </c>
      <c r="G187">
        <f t="shared" si="12"/>
        <v>-1.5420138350241622E-2</v>
      </c>
      <c r="I187">
        <f t="shared" si="15"/>
        <v>4.6149999999856028E-6</v>
      </c>
      <c r="J187">
        <f t="shared" si="16"/>
        <v>3.2854889999999415E-2</v>
      </c>
      <c r="K187">
        <f t="shared" si="17"/>
        <v>6.8086570653460576E-3</v>
      </c>
      <c r="L187">
        <v>1.5420138350241622E-2</v>
      </c>
    </row>
    <row r="188" spans="1:12" x14ac:dyDescent="0.2">
      <c r="A188" s="2">
        <v>44348.916666666664</v>
      </c>
      <c r="B188">
        <v>11.82775825</v>
      </c>
      <c r="C188">
        <f t="shared" si="13"/>
        <v>3.2854880000000364E-2</v>
      </c>
      <c r="D188">
        <v>0.20557682299999999</v>
      </c>
      <c r="E188">
        <v>-7.0269556680000003</v>
      </c>
      <c r="F188">
        <f t="shared" si="14"/>
        <v>0</v>
      </c>
      <c r="G188">
        <f t="shared" si="12"/>
        <v>-1.5341255154426522E-2</v>
      </c>
      <c r="I188">
        <f t="shared" si="15"/>
        <v>-5.2140000000033826E-6</v>
      </c>
      <c r="J188">
        <f t="shared" si="16"/>
        <v>3.2854880000000364E-2</v>
      </c>
      <c r="K188">
        <f t="shared" si="17"/>
        <v>6.692703224274954E-3</v>
      </c>
      <c r="L188">
        <v>1.5341255154426522E-2</v>
      </c>
    </row>
    <row r="189" spans="1:12" x14ac:dyDescent="0.2">
      <c r="A189" s="2">
        <v>44351.1875</v>
      </c>
      <c r="B189">
        <v>11.901681740000001</v>
      </c>
      <c r="C189">
        <f t="shared" si="13"/>
        <v>7.3923490000000314E-2</v>
      </c>
      <c r="D189">
        <v>0.20557682299999999</v>
      </c>
      <c r="E189">
        <v>-7.0269556680000003</v>
      </c>
      <c r="F189">
        <f t="shared" si="14"/>
        <v>0</v>
      </c>
      <c r="G189">
        <f t="shared" si="12"/>
        <v>-3.4611954553684057E-2</v>
      </c>
      <c r="I189">
        <f t="shared" si="15"/>
        <v>0</v>
      </c>
      <c r="J189">
        <f t="shared" si="16"/>
        <v>7.3923490000000314E-2</v>
      </c>
      <c r="K189">
        <f t="shared" si="17"/>
        <v>1.5196956219272639E-2</v>
      </c>
      <c r="L189">
        <v>3.4611954553684057E-2</v>
      </c>
    </row>
    <row r="190" spans="1:12" x14ac:dyDescent="0.2">
      <c r="A190" s="2">
        <v>44352.1875</v>
      </c>
      <c r="B190">
        <v>11.934536619999999</v>
      </c>
      <c r="C190">
        <f t="shared" si="13"/>
        <v>3.2854879999998587E-2</v>
      </c>
      <c r="D190">
        <v>0.205585724</v>
      </c>
      <c r="E190">
        <v>-6.9980738320000002</v>
      </c>
      <c r="F190">
        <f t="shared" si="14"/>
        <v>2.888183600000005E-2</v>
      </c>
      <c r="G190">
        <f t="shared" si="12"/>
        <v>1.3426249140844143E-2</v>
      </c>
      <c r="I190">
        <f t="shared" si="15"/>
        <v>8.9010000000055989E-6</v>
      </c>
      <c r="J190">
        <f t="shared" si="16"/>
        <v>3.2854879999998587E-2</v>
      </c>
      <c r="K190">
        <f t="shared" si="17"/>
        <v>6.8604311609004043E-3</v>
      </c>
      <c r="L190">
        <v>1.5455586859155906E-2</v>
      </c>
    </row>
    <row r="191" spans="1:12" x14ac:dyDescent="0.2">
      <c r="A191" s="2">
        <v>44353.1875</v>
      </c>
      <c r="B191">
        <v>11.967391510000001</v>
      </c>
      <c r="C191">
        <f t="shared" si="13"/>
        <v>3.2854890000001191E-2</v>
      </c>
      <c r="D191">
        <v>0.205581284</v>
      </c>
      <c r="E191">
        <v>-6.9980738320000002</v>
      </c>
      <c r="F191">
        <f t="shared" si="14"/>
        <v>0</v>
      </c>
      <c r="G191">
        <f t="shared" si="12"/>
        <v>-1.5347057652782067E-2</v>
      </c>
      <c r="I191">
        <f t="shared" si="15"/>
        <v>-4.4399999999944484E-6</v>
      </c>
      <c r="J191">
        <f t="shared" si="16"/>
        <v>3.2854890000001191E-2</v>
      </c>
      <c r="K191">
        <f t="shared" si="17"/>
        <v>6.7013611292860986E-3</v>
      </c>
      <c r="L191">
        <v>1.5347057652782067E-2</v>
      </c>
    </row>
    <row r="192" spans="1:12" x14ac:dyDescent="0.2">
      <c r="A192" s="2">
        <v>44354.1875</v>
      </c>
      <c r="B192">
        <v>12.000246389999999</v>
      </c>
      <c r="C192">
        <f t="shared" si="13"/>
        <v>3.2854879999998587E-2</v>
      </c>
      <c r="D192">
        <v>0.205581284</v>
      </c>
      <c r="E192">
        <v>-7.0413965860000003</v>
      </c>
      <c r="F192">
        <f t="shared" si="14"/>
        <v>-4.3322754000000074E-2</v>
      </c>
      <c r="G192">
        <f t="shared" si="12"/>
        <v>-5.8705970462516764E-2</v>
      </c>
      <c r="I192">
        <f t="shared" si="15"/>
        <v>0</v>
      </c>
      <c r="J192">
        <f t="shared" si="16"/>
        <v>3.2854879999998587E-2</v>
      </c>
      <c r="K192">
        <f t="shared" si="17"/>
        <v>6.754348416065703E-3</v>
      </c>
      <c r="L192">
        <v>1.5383216462516688E-2</v>
      </c>
    </row>
    <row r="193" spans="1:12" x14ac:dyDescent="0.2">
      <c r="A193" s="2">
        <v>44355.1875</v>
      </c>
      <c r="B193">
        <v>12.03310127</v>
      </c>
      <c r="C193">
        <f t="shared" si="13"/>
        <v>3.2854880000000364E-2</v>
      </c>
      <c r="D193">
        <v>0.205581284</v>
      </c>
      <c r="E193">
        <v>-7.0558375040000003</v>
      </c>
      <c r="F193">
        <f t="shared" si="14"/>
        <v>-1.4440918000000025E-2</v>
      </c>
      <c r="G193">
        <f t="shared" si="12"/>
        <v>-2.9824134462517617E-2</v>
      </c>
      <c r="I193">
        <f t="shared" si="15"/>
        <v>0</v>
      </c>
      <c r="J193">
        <f t="shared" si="16"/>
        <v>3.2854880000000364E-2</v>
      </c>
      <c r="K193">
        <f t="shared" si="17"/>
        <v>6.7543484160661471E-3</v>
      </c>
      <c r="L193">
        <v>1.538321646251759E-2</v>
      </c>
    </row>
    <row r="194" spans="1:12" x14ac:dyDescent="0.2">
      <c r="A194" s="2">
        <v>44356.1875</v>
      </c>
      <c r="B194">
        <v>12.065956160000001</v>
      </c>
      <c r="C194">
        <f t="shared" si="13"/>
        <v>3.2854890000001191E-2</v>
      </c>
      <c r="D194">
        <v>0.20558167899999999</v>
      </c>
      <c r="E194">
        <v>-7.0413965860000003</v>
      </c>
      <c r="F194">
        <f t="shared" si="14"/>
        <v>1.4440918000000025E-2</v>
      </c>
      <c r="G194">
        <f t="shared" si="12"/>
        <v>-9.4556559662005608E-4</v>
      </c>
      <c r="I194">
        <f t="shared" si="15"/>
        <v>3.9499999998637847E-7</v>
      </c>
      <c r="J194">
        <f t="shared" si="16"/>
        <v>3.2854890000001191E-2</v>
      </c>
      <c r="K194">
        <f t="shared" si="17"/>
        <v>6.7591165245621809E-3</v>
      </c>
      <c r="L194">
        <v>1.5386483596620081E-2</v>
      </c>
    </row>
    <row r="195" spans="1:12" x14ac:dyDescent="0.2">
      <c r="A195" s="2">
        <v>44357.1875</v>
      </c>
      <c r="B195">
        <v>12.098811039999999</v>
      </c>
      <c r="C195">
        <f t="shared" si="13"/>
        <v>3.2854879999998587E-2</v>
      </c>
      <c r="D195">
        <v>0.205582022</v>
      </c>
      <c r="E195">
        <v>-7.0413965860000003</v>
      </c>
      <c r="F195">
        <f t="shared" si="14"/>
        <v>0</v>
      </c>
      <c r="G195">
        <f t="shared" ref="G195:G215" si="18">F195-L195</f>
        <v>-1.5386070541534375E-2</v>
      </c>
      <c r="I195">
        <f t="shared" si="15"/>
        <v>3.4300000001374897E-7</v>
      </c>
      <c r="J195">
        <f t="shared" si="16"/>
        <v>3.2854879999998587E-2</v>
      </c>
      <c r="K195">
        <f t="shared" si="17"/>
        <v>6.75851128593008E-3</v>
      </c>
      <c r="L195">
        <v>1.5386070541534375E-2</v>
      </c>
    </row>
    <row r="196" spans="1:12" x14ac:dyDescent="0.2">
      <c r="A196" s="2">
        <v>44358.1875</v>
      </c>
      <c r="B196">
        <v>12.13166593</v>
      </c>
      <c r="C196">
        <f t="shared" ref="C196:C215" si="19">B196-B195</f>
        <v>3.2854890000001191E-2</v>
      </c>
      <c r="D196">
        <v>0.20558061399999999</v>
      </c>
      <c r="E196">
        <v>-7.0269556680000003</v>
      </c>
      <c r="F196">
        <f t="shared" ref="F196:F215" si="20">E196-E195</f>
        <v>1.4440918000000025E-2</v>
      </c>
      <c r="G196">
        <f t="shared" si="18"/>
        <v>-9.306144966558863E-4</v>
      </c>
      <c r="I196">
        <f t="shared" ref="I196:I215" si="21">D196-D195</f>
        <v>-1.4080000000082915E-6</v>
      </c>
      <c r="J196">
        <f t="shared" ref="J196:J215" si="22">B196*D196^0-B195*D195^0</f>
        <v>3.2854890000001191E-2</v>
      </c>
      <c r="K196">
        <f t="shared" ref="K196:K215" si="23">B196*D196^1-B195*D195^1</f>
        <v>6.7372933331579787E-3</v>
      </c>
      <c r="L196">
        <v>1.5371532496655911E-2</v>
      </c>
    </row>
    <row r="197" spans="1:12" x14ac:dyDescent="0.2">
      <c r="A197" s="2">
        <v>44361.1875</v>
      </c>
      <c r="B197">
        <v>12.230230580000001</v>
      </c>
      <c r="C197">
        <f t="shared" si="19"/>
        <v>9.8564650000000142E-2</v>
      </c>
      <c r="D197">
        <v>0.21238288699999999</v>
      </c>
      <c r="E197">
        <v>-7.0558375040000003</v>
      </c>
      <c r="F197">
        <f t="shared" si="20"/>
        <v>-2.888183600000005E-2</v>
      </c>
      <c r="G197">
        <f t="shared" si="18"/>
        <v>-0.13218701232298707</v>
      </c>
      <c r="I197">
        <f t="shared" si="21"/>
        <v>6.8022729999999976E-3</v>
      </c>
      <c r="J197">
        <f t="shared" si="22"/>
        <v>9.8564650000000142E-2</v>
      </c>
      <c r="K197">
        <f t="shared" si="23"/>
        <v>0.10345634852380359</v>
      </c>
      <c r="L197">
        <v>0.10330517632298702</v>
      </c>
    </row>
    <row r="198" spans="1:12" x14ac:dyDescent="0.2">
      <c r="A198" s="2">
        <v>44361.916666666664</v>
      </c>
      <c r="B198">
        <v>12.25487174</v>
      </c>
      <c r="C198">
        <f t="shared" si="19"/>
        <v>2.4641159999999829E-2</v>
      </c>
      <c r="D198">
        <v>0.21263480100000001</v>
      </c>
      <c r="E198">
        <v>-7.0269556680000003</v>
      </c>
      <c r="F198">
        <f t="shared" si="20"/>
        <v>2.888183600000005E-2</v>
      </c>
      <c r="G198">
        <f t="shared" si="18"/>
        <v>1.5076382865538781E-2</v>
      </c>
      <c r="I198">
        <f t="shared" si="21"/>
        <v>2.5191400000001973E-4</v>
      </c>
      <c r="J198">
        <f t="shared" si="22"/>
        <v>2.4641159999999829E-2</v>
      </c>
      <c r="K198">
        <f t="shared" si="23"/>
        <v>8.3205344593393349E-3</v>
      </c>
      <c r="L198">
        <v>1.3805453134461269E-2</v>
      </c>
    </row>
    <row r="199" spans="1:12" x14ac:dyDescent="0.2">
      <c r="A199" s="2">
        <v>44362.1875</v>
      </c>
      <c r="B199">
        <v>12.263085459999999</v>
      </c>
      <c r="C199">
        <f t="shared" si="19"/>
        <v>8.2137199999987587E-3</v>
      </c>
      <c r="D199">
        <v>0.212639728</v>
      </c>
      <c r="E199">
        <v>-7.0269556680000003</v>
      </c>
      <c r="F199">
        <f t="shared" si="20"/>
        <v>0</v>
      </c>
      <c r="G199">
        <f t="shared" si="18"/>
        <v>-3.9377946961367365E-3</v>
      </c>
      <c r="I199">
        <f t="shared" si="21"/>
        <v>4.9269999999879133E-6</v>
      </c>
      <c r="J199">
        <f t="shared" si="22"/>
        <v>8.2137199999987587E-3</v>
      </c>
      <c r="K199">
        <f t="shared" si="23"/>
        <v>1.8069429397309378E-3</v>
      </c>
      <c r="L199">
        <v>3.9377946961367365E-3</v>
      </c>
    </row>
    <row r="200" spans="1:12" x14ac:dyDescent="0.2">
      <c r="A200" s="2">
        <v>44362.916666666664</v>
      </c>
      <c r="B200">
        <v>12.41093244</v>
      </c>
      <c r="C200">
        <f t="shared" si="19"/>
        <v>0.14784698000000063</v>
      </c>
      <c r="D200">
        <v>0.21263876000000001</v>
      </c>
      <c r="E200">
        <v>-6.9980738320000002</v>
      </c>
      <c r="F200">
        <f t="shared" si="20"/>
        <v>2.888183600000005E-2</v>
      </c>
      <c r="G200">
        <f t="shared" si="18"/>
        <v>-4.1243111801017404E-2</v>
      </c>
      <c r="I200">
        <f t="shared" si="21"/>
        <v>-9.679999999900879E-7</v>
      </c>
      <c r="J200">
        <f t="shared" si="22"/>
        <v>0.14784698000000063</v>
      </c>
      <c r="K200">
        <f t="shared" si="23"/>
        <v>3.1426127830219919E-2</v>
      </c>
      <c r="L200">
        <v>7.0124947801017454E-2</v>
      </c>
    </row>
    <row r="201" spans="1:12" x14ac:dyDescent="0.2">
      <c r="A201" s="2">
        <v>44364.916666666664</v>
      </c>
      <c r="B201">
        <v>12.47664221</v>
      </c>
      <c r="C201">
        <f t="shared" si="19"/>
        <v>6.5709769999999779E-2</v>
      </c>
      <c r="D201">
        <v>0.21264492199999999</v>
      </c>
      <c r="E201">
        <v>-6.9980738320000002</v>
      </c>
      <c r="F201">
        <f t="shared" si="20"/>
        <v>0</v>
      </c>
      <c r="G201">
        <f t="shared" si="18"/>
        <v>-3.1223369174040026E-2</v>
      </c>
      <c r="I201">
        <f t="shared" si="21"/>
        <v>6.161999999976242E-6</v>
      </c>
      <c r="J201">
        <f t="shared" si="22"/>
        <v>6.5709769999999779E-2</v>
      </c>
      <c r="K201">
        <f t="shared" si="23"/>
        <v>1.4049325081982644E-2</v>
      </c>
      <c r="L201">
        <v>3.1223369174040026E-2</v>
      </c>
    </row>
    <row r="202" spans="1:12" x14ac:dyDescent="0.2">
      <c r="A202" s="2">
        <v>44365.916666666664</v>
      </c>
      <c r="B202">
        <v>12.50949709</v>
      </c>
      <c r="C202">
        <f t="shared" si="19"/>
        <v>3.2854880000000364E-2</v>
      </c>
      <c r="D202">
        <v>0.21265241200000001</v>
      </c>
      <c r="E202">
        <v>-6.9691919960000002</v>
      </c>
      <c r="F202">
        <f t="shared" si="20"/>
        <v>2.888183600000005E-2</v>
      </c>
      <c r="G202">
        <f t="shared" si="18"/>
        <v>1.3231770837982035E-2</v>
      </c>
      <c r="I202">
        <f t="shared" si="21"/>
        <v>7.490000000026642E-6</v>
      </c>
      <c r="J202">
        <f t="shared" si="22"/>
        <v>3.2854880000000364E-2</v>
      </c>
      <c r="K202">
        <f t="shared" si="23"/>
        <v>7.0801195281240403E-3</v>
      </c>
      <c r="L202">
        <v>1.5650065162018015E-2</v>
      </c>
    </row>
    <row r="203" spans="1:12" x14ac:dyDescent="0.2">
      <c r="A203" s="2">
        <v>44366.916666666664</v>
      </c>
      <c r="B203">
        <v>12.542351979999999</v>
      </c>
      <c r="C203">
        <f t="shared" si="19"/>
        <v>3.2854889999999415E-2</v>
      </c>
      <c r="D203">
        <v>0.212643842</v>
      </c>
      <c r="E203">
        <v>-6.9114283240000001</v>
      </c>
      <c r="F203">
        <f t="shared" si="20"/>
        <v>5.7763672000000099E-2</v>
      </c>
      <c r="G203">
        <f t="shared" si="18"/>
        <v>4.2252481515462688E-2</v>
      </c>
      <c r="I203">
        <f t="shared" si="21"/>
        <v>-8.5700000000132892E-6</v>
      </c>
      <c r="J203">
        <f t="shared" si="22"/>
        <v>3.2854889999999415E-2</v>
      </c>
      <c r="K203">
        <f t="shared" si="23"/>
        <v>6.8791836480257551E-3</v>
      </c>
      <c r="L203">
        <v>1.551119048453741E-2</v>
      </c>
    </row>
    <row r="204" spans="1:12" x14ac:dyDescent="0.2">
      <c r="A204" s="2">
        <v>44367.916666666664</v>
      </c>
      <c r="B204">
        <v>12.57520686</v>
      </c>
      <c r="C204">
        <f t="shared" si="19"/>
        <v>3.2854880000000364E-2</v>
      </c>
      <c r="D204">
        <v>0.212641002</v>
      </c>
      <c r="E204">
        <v>-6.9114283240000001</v>
      </c>
      <c r="F204">
        <f t="shared" si="20"/>
        <v>0</v>
      </c>
      <c r="G204">
        <f t="shared" si="18"/>
        <v>-1.5560562588480367E-2</v>
      </c>
      <c r="I204">
        <f t="shared" si="21"/>
        <v>-2.8400000000039505E-6</v>
      </c>
      <c r="J204">
        <f t="shared" si="22"/>
        <v>3.2854880000000364E-2</v>
      </c>
      <c r="K204">
        <f t="shared" si="23"/>
        <v>6.950674324166517E-3</v>
      </c>
      <c r="L204">
        <v>1.5560562588480367E-2</v>
      </c>
    </row>
    <row r="205" spans="1:12" x14ac:dyDescent="0.2">
      <c r="A205" s="2">
        <v>44368.916666666664</v>
      </c>
      <c r="B205">
        <v>12.60806174</v>
      </c>
      <c r="C205">
        <f t="shared" si="19"/>
        <v>3.2854880000000364E-2</v>
      </c>
      <c r="D205">
        <v>0.21264124600000001</v>
      </c>
      <c r="E205">
        <v>-6.9114283240000001</v>
      </c>
      <c r="F205">
        <f t="shared" si="20"/>
        <v>0</v>
      </c>
      <c r="G205">
        <f t="shared" si="18"/>
        <v>-1.5587327850748761E-2</v>
      </c>
      <c r="I205">
        <f t="shared" si="21"/>
        <v>2.4400000001034705E-7</v>
      </c>
      <c r="J205">
        <f t="shared" si="22"/>
        <v>3.2854880000000364E-2</v>
      </c>
      <c r="K205">
        <f t="shared" si="23"/>
        <v>6.9893709708543916E-3</v>
      </c>
      <c r="L205">
        <v>1.5587327850748761E-2</v>
      </c>
    </row>
    <row r="206" spans="1:12" x14ac:dyDescent="0.2">
      <c r="A206" s="2">
        <v>44369.916666666664</v>
      </c>
      <c r="B206">
        <v>12.64091663</v>
      </c>
      <c r="C206">
        <f t="shared" si="19"/>
        <v>3.2854889999999415E-2</v>
      </c>
      <c r="D206">
        <v>0.21265098099999999</v>
      </c>
      <c r="E206">
        <v>-6.882546488</v>
      </c>
      <c r="F206">
        <f t="shared" si="20"/>
        <v>2.888183600000005E-2</v>
      </c>
      <c r="G206">
        <f t="shared" si="18"/>
        <v>1.3211347781215133E-2</v>
      </c>
      <c r="I206">
        <f t="shared" si="21"/>
        <v>9.7349999999829517E-6</v>
      </c>
      <c r="J206">
        <f t="shared" si="22"/>
        <v>3.2854889999999415E-2</v>
      </c>
      <c r="K206">
        <f t="shared" si="23"/>
        <v>7.1093640701858085E-3</v>
      </c>
      <c r="L206">
        <v>1.5670488218784917E-2</v>
      </c>
    </row>
    <row r="207" spans="1:12" x14ac:dyDescent="0.2">
      <c r="A207" s="2">
        <v>44370.916666666664</v>
      </c>
      <c r="B207">
        <v>12.67377151</v>
      </c>
      <c r="C207">
        <f t="shared" si="19"/>
        <v>3.2854880000000364E-2</v>
      </c>
      <c r="D207">
        <v>0.21264445900000001</v>
      </c>
      <c r="E207">
        <v>-6.9114283240000001</v>
      </c>
      <c r="F207">
        <f t="shared" si="20"/>
        <v>-2.888183600000005E-2</v>
      </c>
      <c r="G207">
        <f t="shared" si="18"/>
        <v>-4.4409999219357274E-2</v>
      </c>
      <c r="I207">
        <f t="shared" si="21"/>
        <v>-6.521999999981043E-6</v>
      </c>
      <c r="J207">
        <f t="shared" si="22"/>
        <v>3.2854880000000364E-2</v>
      </c>
      <c r="K207">
        <f t="shared" si="23"/>
        <v>6.9039641248491712E-3</v>
      </c>
      <c r="L207">
        <v>1.5528163219357224E-2</v>
      </c>
    </row>
    <row r="208" spans="1:12" x14ac:dyDescent="0.2">
      <c r="A208" s="2">
        <v>44373.916666666664</v>
      </c>
      <c r="B208">
        <v>12.77233616</v>
      </c>
      <c r="C208">
        <f t="shared" si="19"/>
        <v>9.8564650000000142E-2</v>
      </c>
      <c r="D208">
        <v>0.212645429</v>
      </c>
      <c r="E208">
        <v>-6.9114283240000001</v>
      </c>
      <c r="F208">
        <f t="shared" si="20"/>
        <v>0</v>
      </c>
      <c r="G208">
        <f t="shared" si="18"/>
        <v>-4.6764501857230745E-2</v>
      </c>
      <c r="I208">
        <f t="shared" si="21"/>
        <v>9.6999999998903519E-7</v>
      </c>
      <c r="J208">
        <f t="shared" si="22"/>
        <v>9.8564650000000142E-2</v>
      </c>
      <c r="K208">
        <f t="shared" si="23"/>
        <v>2.0971615841849811E-2</v>
      </c>
      <c r="L208">
        <v>4.6764501857230745E-2</v>
      </c>
    </row>
    <row r="209" spans="1:12" x14ac:dyDescent="0.2">
      <c r="A209" s="2">
        <v>44374.916666666664</v>
      </c>
      <c r="B209">
        <v>12.805191049999999</v>
      </c>
      <c r="C209">
        <f t="shared" si="19"/>
        <v>3.2854889999999415E-2</v>
      </c>
      <c r="D209">
        <v>0.212650016</v>
      </c>
      <c r="E209">
        <v>-6.9403101600000001</v>
      </c>
      <c r="F209">
        <f t="shared" si="20"/>
        <v>-2.888183600000005E-2</v>
      </c>
      <c r="G209">
        <f t="shared" si="18"/>
        <v>-4.4508003321457636E-2</v>
      </c>
      <c r="I209">
        <f t="shared" si="21"/>
        <v>4.5870000000003408E-6</v>
      </c>
      <c r="J209">
        <f t="shared" si="22"/>
        <v>3.2854889999999415E-2</v>
      </c>
      <c r="K209">
        <f t="shared" si="23"/>
        <v>7.0451795901438352E-3</v>
      </c>
      <c r="L209">
        <v>1.5626167321457586E-2</v>
      </c>
    </row>
    <row r="210" spans="1:12" x14ac:dyDescent="0.2">
      <c r="A210" s="2">
        <v>44375.916666666664</v>
      </c>
      <c r="B210">
        <v>12.83804593</v>
      </c>
      <c r="C210">
        <f t="shared" si="19"/>
        <v>3.2854880000000364E-2</v>
      </c>
      <c r="D210">
        <v>0.20980959099999999</v>
      </c>
      <c r="E210">
        <v>-6.9691919960000002</v>
      </c>
      <c r="F210">
        <f t="shared" si="20"/>
        <v>-2.888183600000005E-2</v>
      </c>
      <c r="G210">
        <f t="shared" si="18"/>
        <v>-1.9097424713697787E-2</v>
      </c>
      <c r="I210">
        <f t="shared" si="21"/>
        <v>-2.8404250000000075E-3</v>
      </c>
      <c r="J210">
        <f t="shared" si="22"/>
        <v>3.2854880000000364E-2</v>
      </c>
      <c r="K210">
        <f t="shared" si="23"/>
        <v>-2.9478915853042409E-2</v>
      </c>
      <c r="L210">
        <v>-9.784411286302263E-3</v>
      </c>
    </row>
    <row r="211" spans="1:12" x14ac:dyDescent="0.2">
      <c r="A211" s="2">
        <v>44376.916666666664</v>
      </c>
      <c r="B211">
        <v>12.870900819999999</v>
      </c>
      <c r="C211">
        <f t="shared" si="19"/>
        <v>3.2854889999999415E-2</v>
      </c>
      <c r="D211">
        <v>0.20919280000000001</v>
      </c>
      <c r="E211">
        <v>-6.9691919960000002</v>
      </c>
      <c r="F211">
        <f t="shared" si="20"/>
        <v>0</v>
      </c>
      <c r="G211">
        <f t="shared" si="18"/>
        <v>-9.9775464464328025E-3</v>
      </c>
      <c r="I211">
        <f t="shared" si="21"/>
        <v>-6.1679099999997766E-4</v>
      </c>
      <c r="J211">
        <f t="shared" si="22"/>
        <v>3.2854889999999415E-2</v>
      </c>
      <c r="K211">
        <f t="shared" si="23"/>
        <v>-1.0453847544180661E-3</v>
      </c>
      <c r="L211">
        <v>9.9775464464328025E-3</v>
      </c>
    </row>
    <row r="212" spans="1:12" x14ac:dyDescent="0.2">
      <c r="A212" s="2">
        <v>44377.916666666664</v>
      </c>
      <c r="B212">
        <v>12.9037557</v>
      </c>
      <c r="C212">
        <f t="shared" si="19"/>
        <v>3.2854880000000364E-2</v>
      </c>
      <c r="D212">
        <v>0.213438925</v>
      </c>
      <c r="E212">
        <v>-6.9403101600000001</v>
      </c>
      <c r="F212">
        <f t="shared" si="20"/>
        <v>2.888183600000005E-2</v>
      </c>
      <c r="G212">
        <f t="shared" si="18"/>
        <v>-2.4772851656645223E-2</v>
      </c>
      <c r="I212">
        <f t="shared" si="21"/>
        <v>4.2461249999999895E-3</v>
      </c>
      <c r="J212">
        <f t="shared" si="22"/>
        <v>3.2854880000000364E-2</v>
      </c>
      <c r="K212">
        <f t="shared" si="23"/>
        <v>6.1663964012526051E-2</v>
      </c>
      <c r="L212">
        <v>5.3654687656645272E-2</v>
      </c>
    </row>
    <row r="213" spans="1:12" x14ac:dyDescent="0.2">
      <c r="A213" s="2">
        <v>44380.916666666664</v>
      </c>
      <c r="B213">
        <v>13.00232035</v>
      </c>
      <c r="C213">
        <f t="shared" si="19"/>
        <v>9.8564650000000142E-2</v>
      </c>
      <c r="D213">
        <v>0.21346116800000001</v>
      </c>
      <c r="E213">
        <v>-6.882546488</v>
      </c>
      <c r="F213">
        <f t="shared" si="20"/>
        <v>5.7763672000000099E-2</v>
      </c>
      <c r="G213">
        <f t="shared" si="18"/>
        <v>1.0737738537928782E-2</v>
      </c>
      <c r="I213">
        <f t="shared" si="21"/>
        <v>2.224300000000512E-5</v>
      </c>
      <c r="J213">
        <f t="shared" si="22"/>
        <v>9.8564650000000142E-2</v>
      </c>
      <c r="K213">
        <f t="shared" si="23"/>
        <v>2.1326743550546645E-2</v>
      </c>
      <c r="L213">
        <v>4.7025933462071318E-2</v>
      </c>
    </row>
    <row r="214" spans="1:12" x14ac:dyDescent="0.2">
      <c r="A214" s="2">
        <v>44381.916666666664</v>
      </c>
      <c r="B214">
        <v>13.035175239999999</v>
      </c>
      <c r="C214">
        <f t="shared" si="19"/>
        <v>3.2854889999999415E-2</v>
      </c>
      <c r="D214">
        <v>0.213471628</v>
      </c>
      <c r="E214">
        <v>-6.9114283240000001</v>
      </c>
      <c r="F214">
        <f t="shared" si="20"/>
        <v>-2.888183600000005E-2</v>
      </c>
      <c r="G214">
        <f t="shared" si="18"/>
        <v>-4.4585724679689555E-2</v>
      </c>
      <c r="I214">
        <f t="shared" si="21"/>
        <v>1.0459999999989922E-5</v>
      </c>
      <c r="J214">
        <f t="shared" si="22"/>
        <v>3.2854889999999415E-2</v>
      </c>
      <c r="K214">
        <f t="shared" si="23"/>
        <v>7.1495911269217061E-3</v>
      </c>
      <c r="L214">
        <v>1.5703888679689505E-2</v>
      </c>
    </row>
    <row r="215" spans="1:12" x14ac:dyDescent="0.2">
      <c r="A215" s="2">
        <v>44382.916666666664</v>
      </c>
      <c r="B215">
        <v>13.06803012</v>
      </c>
      <c r="C215">
        <f t="shared" si="19"/>
        <v>3.2854880000000364E-2</v>
      </c>
      <c r="D215">
        <v>0.213464973</v>
      </c>
      <c r="E215">
        <v>-6.8536646530000001</v>
      </c>
      <c r="F215">
        <f t="shared" si="20"/>
        <v>5.7763671000000016E-2</v>
      </c>
      <c r="G215">
        <f t="shared" si="18"/>
        <v>4.2215482506896024E-2</v>
      </c>
      <c r="I215">
        <f t="shared" si="21"/>
        <v>-6.6549999999943044E-6</v>
      </c>
      <c r="J215">
        <f t="shared" si="22"/>
        <v>3.2854880000000364E-2</v>
      </c>
      <c r="K215">
        <f t="shared" si="23"/>
        <v>6.9266169808961386E-3</v>
      </c>
      <c r="L215">
        <v>1.5548188493103989E-2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</dc:creator>
  <cp:lastModifiedBy>Muhammad Hilmi</cp:lastModifiedBy>
  <dcterms:created xsi:type="dcterms:W3CDTF">2026-07-30T13:48:28Z</dcterms:created>
  <dcterms:modified xsi:type="dcterms:W3CDTF">2026-07-31T13:59:51Z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2026-07-30T17:32:35Z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162ff6a1-9589-4c67-bc27-bc7e4f642f7e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